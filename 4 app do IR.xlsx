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Sidnei Lopes Ribeiro\Documents\excel IA dio_santander\"/>
    </mc:Choice>
  </mc:AlternateContent>
  <xr:revisionPtr revIDLastSave="0" documentId="13_ncr:1_{CF7252C1-6982-4A5E-B8B5-9B3CCF33D0B7}" xr6:coauthVersionLast="47" xr6:coauthVersionMax="47" xr10:uidLastSave="{00000000-0000-0000-0000-000000000000}"/>
  <bookViews>
    <workbookView xWindow="-120" yWindow="-120" windowWidth="20730" windowHeight="11040" tabRatio="0" firstSheet="4" activeTab="4" xr2:uid="{2F3B50AA-5230-4305-BDE2-18351AECDB58}"/>
  </bookViews>
  <sheets>
    <sheet name="TITULAR" sheetId="1" r:id="rId1"/>
    <sheet name="INFORMES" sheetId="2" r:id="rId2"/>
    <sheet name="NOTAS" sheetId="3" r:id="rId3"/>
    <sheet name="TABELAS" sheetId="6" r:id="rId4"/>
    <sheet name="CRÉDITO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C8" i="2"/>
  <c r="C2" i="3" l="1"/>
  <c r="C2" i="2"/>
</calcChain>
</file>

<file path=xl/sharedStrings.xml><?xml version="1.0" encoding="utf-8"?>
<sst xmlns="http://schemas.openxmlformats.org/spreadsheetml/2006/main" count="152" uniqueCount="112">
  <si>
    <t xml:space="preserve">     </t>
  </si>
  <si>
    <t>NOME</t>
  </si>
  <si>
    <t>CPF</t>
  </si>
  <si>
    <t>ENDEREÇO</t>
  </si>
  <si>
    <t>TÍTULO DE ELEITOR</t>
  </si>
  <si>
    <t>DATA DE NASCIMENTO</t>
  </si>
  <si>
    <t>CÔNJUGE</t>
  </si>
  <si>
    <t>CEP</t>
  </si>
  <si>
    <t>CIDADE</t>
  </si>
  <si>
    <t>ESTADO</t>
  </si>
  <si>
    <t>TELEFONE FIXO</t>
  </si>
  <si>
    <t>TELEFONE CELULAR</t>
  </si>
  <si>
    <t>TELEFONE COMERCIAL</t>
  </si>
  <si>
    <t>LOCAL DE NASCIMENTO</t>
  </si>
  <si>
    <t>E-MAIL SECUNDÁRIO</t>
  </si>
  <si>
    <t>E-MAIL PRINCIPAL</t>
  </si>
  <si>
    <t>HOUVE ALTERAÇÕES EM RELAÇÃO À DECLARAÇÃO ANTERIOR?</t>
  </si>
  <si>
    <t>CONJUGE É SEU DEPENDENTE?</t>
  </si>
  <si>
    <t>RESIDE NO EXTERIOR?</t>
  </si>
  <si>
    <t xml:space="preserve"> </t>
  </si>
  <si>
    <t>1. DADOS DO TITULAR</t>
  </si>
  <si>
    <t>Por favor, preencha os campos abaixo da referida pessoa física</t>
  </si>
  <si>
    <t>NÃO</t>
  </si>
  <si>
    <t>SIM</t>
  </si>
  <si>
    <t>BLUMENAU</t>
  </si>
  <si>
    <t>denis@gmx.com</t>
  </si>
  <si>
    <t>denis@hotmail.com</t>
  </si>
  <si>
    <t>(47) 999296971</t>
  </si>
  <si>
    <t>(47) 999716917</t>
  </si>
  <si>
    <t>89079-171</t>
  </si>
  <si>
    <t>SC</t>
  </si>
  <si>
    <t>(47) 3321-7171</t>
  </si>
  <si>
    <t>Rua das Flores, 1984</t>
  </si>
  <si>
    <t>BANCO</t>
  </si>
  <si>
    <t>VALOR ATUAL</t>
  </si>
  <si>
    <t>ANEXO (PDF)📎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</si>
  <si>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</si>
  <si>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</si>
  <si>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</si>
  <si>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</si>
  <si>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</si>
  <si>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</si>
  <si>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</si>
  <si>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</si>
  <si>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</si>
  <si>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</si>
  <si>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</si>
  <si>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</si>
  <si>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</si>
  <si>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</si>
  <si>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</si>
  <si>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</si>
  <si>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</si>
  <si>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</si>
  <si>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</si>
  <si>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</si>
  <si>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</si>
  <si>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</si>
  <si>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</si>
  <si>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</si>
  <si>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</si>
  <si>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</si>
  <si>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</si>
  <si>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</si>
  <si>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</si>
  <si>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</si>
  <si>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</si>
  <si>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</si>
  <si>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</si>
  <si>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</si>
  <si>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</si>
  <si>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</si>
  <si>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</si>
  <si>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</si>
  <si>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</si>
  <si>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</si>
  <si>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</si>
  <si>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</si>
  <si>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</si>
  <si>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</si>
  <si>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</si>
  <si>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</si>
  <si>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</si>
  <si>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</si>
  <si>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</si>
  <si>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</si>
  <si>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 xml:space="preserve">Códigos dos principais bancos atuantes no Brasil </t>
  </si>
  <si>
    <t>1° banco</t>
  </si>
  <si>
    <t>2° banco</t>
  </si>
  <si>
    <t>3° banco</t>
  </si>
  <si>
    <t>Morgan_2025.PDF</t>
  </si>
  <si>
    <t>Western_2025.PDF</t>
  </si>
  <si>
    <t>Sant_2025.PDF</t>
  </si>
  <si>
    <t>2. DADOS DE INFORMES DE RENDIMENTOS NO ANO BASE</t>
  </si>
  <si>
    <t>CRÉDITOS</t>
  </si>
  <si>
    <t>LEMBREI DA FUNÇÃO DE AGRUPAMENTO DE IMAGENS QUE APRENDI NO WORD NO MILÊNIO PASSADO E CONSEGUI FAZER NO EXCEL.</t>
  </si>
  <si>
    <t>MEU COLEGA DE TRABALHO E AMIGO RODRIGO, PROFESSOR DE ARTES - PELAS DICAS DAS CORES COMPLEMENTARES DO ROXO</t>
  </si>
  <si>
    <t xml:space="preserve">ISSO ELIMINA A NECESSIDADE DE USAR CÓDIGO VISUAL BASIC (MACROS) NESTA SITUAÇÃO. </t>
  </si>
  <si>
    <t>3. NOTAS FISCAIS/ EXTRATOS BANCÁRIOS E DEMAIS COMPROVANTES DE RENDA RECEBIDA</t>
  </si>
  <si>
    <t>Por favor, preencha os campos abaixo com os dados de recebimentos mês a mês no ano base.</t>
  </si>
  <si>
    <t>Data</t>
  </si>
  <si>
    <t>Categoria</t>
  </si>
  <si>
    <t>Valor</t>
  </si>
  <si>
    <t>Freelancer</t>
  </si>
  <si>
    <t>Contrato</t>
  </si>
  <si>
    <t>Info Ariel versão 1.0 - 7/7/2026</t>
  </si>
  <si>
    <t>PROFESSOR FELIPE AGUIAR - DIO: BOOTCAMP Santander - Excel com Inteligência Artificial - 2º Semestre (2025)</t>
  </si>
  <si>
    <t>Salário</t>
  </si>
  <si>
    <t>ENTRADAS EM 2025</t>
  </si>
  <si>
    <t>SALDO BANCÁRIO TOTAL EM 31/12/2025</t>
  </si>
  <si>
    <t>DORA DIETRICHT STEIN</t>
  </si>
  <si>
    <t>DENIS DOMASCHK ODEBRECHT STEIN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</si>
</sst>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[&lt;=9999999]###\-####;\(###\)\ ###\-####"/>
    <numFmt numFmtId="167" formatCode="&quot;R$&quot;\ #,##0.00"/>
    <numFmt numFmtId="168" formatCode="[$-416]dd/mm/yyyy"/>
    <numFmt numFmtId="169" formatCode="[$-416]mmm\ yyyy"/>
  </numFmts>
  <fonts count="1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2"/>
      <color theme="1"/>
      <name val="Abadi"/>
      <family val="2"/>
    </font>
    <font>
      <b/>
      <sz val="12"/>
      <color theme="1"/>
      <name val="Abadi"/>
      <family val="2"/>
    </font>
    <font>
      <b/>
      <sz val="12"/>
      <name val="Abadi"/>
      <family val="2"/>
    </font>
    <font>
      <sz val="11"/>
      <color theme="1"/>
      <name val="Abadi"/>
      <family val="2"/>
    </font>
    <font>
      <sz val="8"/>
      <name val="Aptos Narrow"/>
      <family val="2"/>
      <scheme val="minor"/>
    </font>
    <font>
      <u/>
      <sz val="12"/>
      <color theme="1"/>
      <name val="Abadi"/>
      <family val="2"/>
    </font>
    <font>
      <sz val="11"/>
      <color theme="0"/>
      <name val="Abadi"/>
      <family val="2"/>
    </font>
    <font>
      <sz val="10"/>
      <color theme="0" tint="-0.499984740745262"/>
      <name val="Abadi"/>
      <family val="2"/>
    </font>
    <font>
      <b/>
      <sz val="14"/>
      <color theme="1"/>
      <name val="Abad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badi"/>
      <family val="2"/>
    </font>
    <font>
      <sz val="12"/>
      <color theme="0"/>
      <name val="Abadi"/>
      <family val="2"/>
    </font>
    <font>
      <b/>
      <sz val="14"/>
      <color rgb="FF0E1317"/>
      <name val="Abadi"/>
      <family val="2"/>
    </font>
    <font>
      <sz val="10"/>
      <color theme="1" tint="0.249977111117893"/>
      <name val="Abadi"/>
      <family val="2"/>
    </font>
    <font>
      <sz val="10"/>
      <color theme="1" tint="0.24997711111789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913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6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ck">
        <color theme="9"/>
      </bottom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2" tint="-0.499984740745262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0" fillId="2" borderId="0" xfId="0" applyFill="1"/>
    <xf numFmtId="0" fontId="1" fillId="2" borderId="0" xfId="1" applyFill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0" fontId="4" fillId="3" borderId="2" xfId="0" applyFont="1" applyFill="1" applyBorder="1"/>
    <xf numFmtId="0" fontId="3" fillId="3" borderId="2" xfId="0" applyFont="1" applyFill="1" applyBorder="1"/>
    <xf numFmtId="0" fontId="6" fillId="4" borderId="0" xfId="0" applyFont="1" applyFill="1"/>
    <xf numFmtId="0" fontId="6" fillId="4" borderId="0" xfId="0" applyFont="1" applyFill="1" applyAlignment="1">
      <alignment horizontal="left" vertical="center" indent="2"/>
    </xf>
    <xf numFmtId="0" fontId="8" fillId="3" borderId="0" xfId="0" applyFont="1" applyFill="1"/>
    <xf numFmtId="0" fontId="9" fillId="2" borderId="0" xfId="0" applyFont="1" applyFill="1"/>
    <xf numFmtId="0" fontId="10" fillId="3" borderId="0" xfId="0" applyFont="1" applyFill="1"/>
    <xf numFmtId="167" fontId="0" fillId="4" borderId="0" xfId="0" applyNumberFormat="1" applyFill="1" applyAlignment="1">
      <alignment horizontal="left"/>
    </xf>
    <xf numFmtId="167" fontId="11" fillId="4" borderId="0" xfId="0" applyNumberFormat="1" applyFont="1" applyFill="1" applyAlignment="1">
      <alignment horizontal="left"/>
    </xf>
    <xf numFmtId="9" fontId="9" fillId="2" borderId="0" xfId="0" applyNumberFormat="1" applyFont="1" applyFill="1"/>
    <xf numFmtId="0" fontId="12" fillId="5" borderId="0" xfId="0" applyFont="1" applyFill="1"/>
    <xf numFmtId="0" fontId="0" fillId="5" borderId="0" xfId="0" applyFill="1"/>
    <xf numFmtId="0" fontId="9" fillId="5" borderId="0" xfId="0" applyFont="1" applyFill="1"/>
    <xf numFmtId="0" fontId="9" fillId="6" borderId="0" xfId="0" applyFont="1" applyFill="1"/>
    <xf numFmtId="0" fontId="13" fillId="6" borderId="0" xfId="0" applyFont="1" applyFill="1"/>
    <xf numFmtId="0" fontId="9" fillId="2" borderId="0" xfId="0" applyFont="1" applyFill="1" applyAlignment="1">
      <alignment horizontal="left" indent="1"/>
    </xf>
    <xf numFmtId="0" fontId="3" fillId="5" borderId="0" xfId="0" applyFont="1" applyFill="1"/>
    <xf numFmtId="0" fontId="2" fillId="5" borderId="0" xfId="0" applyFont="1" applyFill="1"/>
    <xf numFmtId="0" fontId="13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167" fontId="15" fillId="7" borderId="0" xfId="0" applyNumberFormat="1" applyFont="1" applyFill="1" applyAlignment="1">
      <alignment horizontal="center" vertical="center"/>
    </xf>
    <xf numFmtId="167" fontId="15" fillId="7" borderId="6" xfId="0" applyNumberFormat="1" applyFont="1" applyFill="1" applyBorder="1" applyAlignment="1">
      <alignment horizontal="center" vertical="center"/>
    </xf>
    <xf numFmtId="0" fontId="13" fillId="3" borderId="2" xfId="0" applyFont="1" applyFill="1" applyBorder="1"/>
    <xf numFmtId="0" fontId="6" fillId="3" borderId="2" xfId="0" applyFont="1" applyFill="1" applyBorder="1"/>
    <xf numFmtId="0" fontId="9" fillId="6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 indent="2"/>
    </xf>
    <xf numFmtId="0" fontId="11" fillId="4" borderId="0" xfId="0" applyFont="1" applyFill="1"/>
    <xf numFmtId="0" fontId="0" fillId="4" borderId="0" xfId="0" applyFill="1"/>
    <xf numFmtId="0" fontId="3" fillId="3" borderId="1" xfId="0" applyFont="1" applyFill="1" applyBorder="1" applyAlignment="1" applyProtection="1">
      <alignment horizontal="right"/>
      <protection locked="0"/>
    </xf>
    <xf numFmtId="164" fontId="3" fillId="3" borderId="1" xfId="0" applyNumberFormat="1" applyFont="1" applyFill="1" applyBorder="1" applyAlignment="1" applyProtection="1">
      <alignment horizontal="right"/>
      <protection locked="0"/>
    </xf>
    <xf numFmtId="168" fontId="3" fillId="3" borderId="1" xfId="0" applyNumberFormat="1" applyFont="1" applyFill="1" applyBorder="1" applyAlignment="1" applyProtection="1">
      <alignment horizontal="right"/>
      <protection locked="0"/>
    </xf>
    <xf numFmtId="165" fontId="3" fillId="3" borderId="1" xfId="0" applyNumberFormat="1" applyFont="1" applyFill="1" applyBorder="1" applyAlignment="1" applyProtection="1">
      <alignment horizontal="right"/>
      <protection locked="0"/>
    </xf>
    <xf numFmtId="166" fontId="3" fillId="3" borderId="1" xfId="0" applyNumberFormat="1" applyFont="1" applyFill="1" applyBorder="1" applyAlignment="1" applyProtection="1">
      <alignment horizontal="right"/>
      <protection locked="0"/>
    </xf>
    <xf numFmtId="0" fontId="1" fillId="3" borderId="1" xfId="1" applyFill="1" applyBorder="1" applyAlignment="1" applyProtection="1">
      <alignment horizontal="right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left"/>
      <protection locked="0"/>
    </xf>
    <xf numFmtId="167" fontId="3" fillId="3" borderId="1" xfId="0" applyNumberFormat="1" applyFont="1" applyFill="1" applyBorder="1" applyAlignment="1" applyProtection="1">
      <alignment horizontal="left"/>
      <protection locked="0"/>
    </xf>
    <xf numFmtId="169" fontId="16" fillId="0" borderId="3" xfId="0" applyNumberFormat="1" applyFont="1" applyBorder="1" applyAlignment="1" applyProtection="1">
      <alignment horizontal="left" vertical="center"/>
      <protection locked="0"/>
    </xf>
    <xf numFmtId="49" fontId="17" fillId="0" borderId="4" xfId="0" applyNumberFormat="1" applyFont="1" applyBorder="1" applyAlignment="1" applyProtection="1">
      <alignment horizontal="center" vertical="center"/>
      <protection locked="0"/>
    </xf>
    <xf numFmtId="167" fontId="16" fillId="0" borderId="4" xfId="0" applyNumberFormat="1" applyFont="1" applyBorder="1" applyAlignment="1" applyProtection="1">
      <alignment horizontal="center" vertical="center"/>
      <protection locked="0"/>
    </xf>
    <xf numFmtId="167" fontId="16" fillId="0" borderId="5" xfId="0" applyNumberFormat="1" applyFont="1" applyBorder="1" applyAlignment="1" applyProtection="1">
      <alignment horizontal="center" vertical="center"/>
      <protection locked="0"/>
    </xf>
    <xf numFmtId="167" fontId="17" fillId="0" borderId="4" xfId="0" applyNumberFormat="1" applyFont="1" applyBorder="1" applyAlignment="1" applyProtection="1">
      <alignment horizontal="center" vertical="center"/>
      <protection locked="0"/>
    </xf>
    <xf numFmtId="0" fontId="14" fillId="8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badi"/>
        <family val="2"/>
        <scheme val="none"/>
      </font>
      <numFmt numFmtId="167" formatCode="&quot;R$&quot;\ 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 tint="0.34998626667073579"/>
        </left>
        <right style="thin">
          <color theme="1" tint="0.34998626667073579"/>
        </right>
        <top style="thin">
          <color theme="0" tint="-4.9989318521683403E-2"/>
        </top>
        <bottom style="thin">
          <color theme="0" tint="-4.9989318521683403E-2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 tint="0.249977111117893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>
        <right style="thin">
          <color theme="1" tint="0.34998626667073579"/>
        </right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0.249977111117893"/>
        <name val="Abadi"/>
        <family val="2"/>
        <scheme val="none"/>
      </font>
      <numFmt numFmtId="169" formatCode="[$-416]mmm\ 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1" tint="0.34998626667073579"/>
        </right>
        <top style="thin">
          <color theme="0" tint="-4.9989318521683403E-2"/>
        </top>
        <bottom style="thin">
          <color theme="0" tint="-4.9989318521683403E-2"/>
        </bottom>
      </border>
      <protection locked="0" hidden="0"/>
    </dxf>
    <dxf>
      <border outline="0">
        <left style="thin">
          <color theme="2" tint="-0.499984740745262"/>
        </left>
        <bottom style="thin">
          <color theme="2" tint="-0.499984740745262"/>
        </bottom>
      </border>
    </dxf>
    <dxf>
      <font>
        <b val="0"/>
        <strike val="0"/>
        <outline val="0"/>
        <shadow val="0"/>
        <u val="none"/>
        <vertAlign val="baseline"/>
        <sz val="10"/>
        <color theme="1" tint="0.249977111117893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E1317"/>
        <name val="Abadi"/>
        <family val="2"/>
        <scheme val="none"/>
      </font>
      <numFmt numFmtId="167" formatCode="&quot;R$&quot;\ #,##0.00"/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  <color rgb="FFFF0066"/>
      <color rgb="FF530920"/>
      <color rgb="FF491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Saldo Bancário Total em 31/12/2025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v>Santander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84-4A5D-977D-C94265AAF6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INFORMES!$D$12</c:f>
              <c:numCache>
                <c:formatCode>"R$"\ #,##0.00</c:formatCode>
                <c:ptCount val="1"/>
                <c:pt idx="0">
                  <c:v>3333.33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84-4A5D-977D-C94265AAF62F}"/>
            </c:ext>
          </c:extLst>
        </c:ser>
        <c:ser>
          <c:idx val="4"/>
          <c:order val="1"/>
          <c:tx>
            <c:v>Morgan Stanley</c:v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INFORMES!$D$17</c:f>
              <c:numCache>
                <c:formatCode>"R$"\ #,##0.00</c:formatCode>
                <c:ptCount val="1"/>
                <c:pt idx="0">
                  <c:v>666.66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84-4A5D-977D-C94265AAF62F}"/>
            </c:ext>
          </c:extLst>
        </c:ser>
        <c:ser>
          <c:idx val="6"/>
          <c:order val="2"/>
          <c:tx>
            <c:v>Wertern Union</c:v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INFORMES!$D$22</c:f>
              <c:numCache>
                <c:formatCode>"R$"\ #,##0.00</c:formatCode>
                <c:ptCount val="1"/>
                <c:pt idx="0">
                  <c:v>119.19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84-4A5D-977D-C94265AAF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4794399"/>
        <c:axId val="731928847"/>
      </c:barChart>
      <c:catAx>
        <c:axId val="594794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1928847"/>
        <c:crosses val="autoZero"/>
        <c:auto val="1"/>
        <c:lblAlgn val="ctr"/>
        <c:lblOffset val="100"/>
        <c:noMultiLvlLbl val="0"/>
      </c:catAx>
      <c:valAx>
        <c:axId val="731928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479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Entradas em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NOTAS!$E$8</c:f>
              <c:strCache>
                <c:ptCount val="1"/>
                <c:pt idx="0">
                  <c:v>Valor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multiLvlStrRef>
              <c:f>NOTAS!$C$9:$D$30</c:f>
              <c:multiLvlStrCache>
                <c:ptCount val="22"/>
                <c:lvl>
                  <c:pt idx="0">
                    <c:v>Salário</c:v>
                  </c:pt>
                  <c:pt idx="1">
                    <c:v>Freelancer</c:v>
                  </c:pt>
                  <c:pt idx="2">
                    <c:v>Salário</c:v>
                  </c:pt>
                  <c:pt idx="3">
                    <c:v>Contrato</c:v>
                  </c:pt>
                  <c:pt idx="4">
                    <c:v>Salário</c:v>
                  </c:pt>
                  <c:pt idx="5">
                    <c:v>Freelancer</c:v>
                  </c:pt>
                  <c:pt idx="6">
                    <c:v>Salário</c:v>
                  </c:pt>
                  <c:pt idx="7">
                    <c:v>Salário</c:v>
                  </c:pt>
                  <c:pt idx="8">
                    <c:v>Salário</c:v>
                  </c:pt>
                  <c:pt idx="9">
                    <c:v>Freelancer</c:v>
                  </c:pt>
                  <c:pt idx="10">
                    <c:v>Salário</c:v>
                  </c:pt>
                  <c:pt idx="11">
                    <c:v>Freelancer</c:v>
                  </c:pt>
                  <c:pt idx="12">
                    <c:v>Salário</c:v>
                  </c:pt>
                  <c:pt idx="13">
                    <c:v>Contrato</c:v>
                  </c:pt>
                  <c:pt idx="14">
                    <c:v>Salário</c:v>
                  </c:pt>
                  <c:pt idx="15">
                    <c:v>Freelancer</c:v>
                  </c:pt>
                  <c:pt idx="16">
                    <c:v>Salário</c:v>
                  </c:pt>
                  <c:pt idx="17">
                    <c:v>Freelancer</c:v>
                  </c:pt>
                  <c:pt idx="18">
                    <c:v>Salário</c:v>
                  </c:pt>
                  <c:pt idx="19">
                    <c:v>Salário</c:v>
                  </c:pt>
                  <c:pt idx="20">
                    <c:v>Freelancer</c:v>
                  </c:pt>
                  <c:pt idx="21">
                    <c:v>Salário</c:v>
                  </c:pt>
                </c:lvl>
                <c:lvl>
                  <c:pt idx="0">
                    <c:v>jan 2025</c:v>
                  </c:pt>
                  <c:pt idx="1">
                    <c:v>jan 2025</c:v>
                  </c:pt>
                  <c:pt idx="2">
                    <c:v>fev 2025</c:v>
                  </c:pt>
                  <c:pt idx="3">
                    <c:v>fev 2025</c:v>
                  </c:pt>
                  <c:pt idx="4">
                    <c:v>mar 2025</c:v>
                  </c:pt>
                  <c:pt idx="5">
                    <c:v>mar 2025</c:v>
                  </c:pt>
                  <c:pt idx="6">
                    <c:v>abr 2025</c:v>
                  </c:pt>
                  <c:pt idx="7">
                    <c:v>mai 2025</c:v>
                  </c:pt>
                  <c:pt idx="8">
                    <c:v>jul 2025</c:v>
                  </c:pt>
                  <c:pt idx="9">
                    <c:v>jul 2025</c:v>
                  </c:pt>
                  <c:pt idx="10">
                    <c:v>ago 2025</c:v>
                  </c:pt>
                  <c:pt idx="11">
                    <c:v>ago 2025</c:v>
                  </c:pt>
                  <c:pt idx="12">
                    <c:v>set 2025</c:v>
                  </c:pt>
                  <c:pt idx="13">
                    <c:v>set 2025</c:v>
                  </c:pt>
                  <c:pt idx="14">
                    <c:v>out 2025</c:v>
                  </c:pt>
                  <c:pt idx="15">
                    <c:v>out 2025</c:v>
                  </c:pt>
                  <c:pt idx="16">
                    <c:v>nov 2025</c:v>
                  </c:pt>
                  <c:pt idx="17">
                    <c:v>nov 2025</c:v>
                  </c:pt>
                  <c:pt idx="18">
                    <c:v>nov 2025</c:v>
                  </c:pt>
                  <c:pt idx="19">
                    <c:v>dez 2025</c:v>
                  </c:pt>
                  <c:pt idx="20">
                    <c:v>dez 2025</c:v>
                  </c:pt>
                  <c:pt idx="21">
                    <c:v>dez 2025</c:v>
                  </c:pt>
                </c:lvl>
              </c:multiLvlStrCache>
            </c:multiLvlStrRef>
          </c:cat>
          <c:val>
            <c:numRef>
              <c:f>NOTAS!$E$9:$E$30</c:f>
              <c:numCache>
                <c:formatCode>"R$"\ #,##0.00</c:formatCode>
                <c:ptCount val="22"/>
                <c:pt idx="0">
                  <c:v>3000</c:v>
                </c:pt>
                <c:pt idx="1">
                  <c:v>7362</c:v>
                </c:pt>
                <c:pt idx="2">
                  <c:v>3000</c:v>
                </c:pt>
                <c:pt idx="3">
                  <c:v>5700</c:v>
                </c:pt>
                <c:pt idx="4">
                  <c:v>3000</c:v>
                </c:pt>
                <c:pt idx="5">
                  <c:v>3100</c:v>
                </c:pt>
                <c:pt idx="6">
                  <c:v>3300</c:v>
                </c:pt>
                <c:pt idx="7">
                  <c:v>3300</c:v>
                </c:pt>
                <c:pt idx="8">
                  <c:v>3250</c:v>
                </c:pt>
                <c:pt idx="9">
                  <c:v>2485</c:v>
                </c:pt>
                <c:pt idx="10">
                  <c:v>3248</c:v>
                </c:pt>
                <c:pt idx="11">
                  <c:v>900</c:v>
                </c:pt>
                <c:pt idx="12">
                  <c:v>3350</c:v>
                </c:pt>
                <c:pt idx="13">
                  <c:v>4280</c:v>
                </c:pt>
                <c:pt idx="14">
                  <c:v>3270</c:v>
                </c:pt>
                <c:pt idx="15">
                  <c:v>1250</c:v>
                </c:pt>
                <c:pt idx="16">
                  <c:v>3290</c:v>
                </c:pt>
                <c:pt idx="17">
                  <c:v>970</c:v>
                </c:pt>
                <c:pt idx="18">
                  <c:v>1150</c:v>
                </c:pt>
                <c:pt idx="19">
                  <c:v>3327</c:v>
                </c:pt>
                <c:pt idx="20">
                  <c:v>2300</c:v>
                </c:pt>
                <c:pt idx="21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2-4E73-83C7-20AD2691A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452319"/>
        <c:axId val="732002767"/>
      </c:areaChart>
      <c:catAx>
        <c:axId val="37452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2002767"/>
        <c:crosses val="autoZero"/>
        <c:auto val="1"/>
        <c:lblAlgn val="ctr"/>
        <c:lblOffset val="100"/>
        <c:noMultiLvlLbl val="0"/>
      </c:catAx>
      <c:valAx>
        <c:axId val="73200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452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INFORMES!B2"/><Relationship Id="rId7" Type="http://schemas.openxmlformats.org/officeDocument/2006/relationships/hyperlink" Target="https://linkedin.com/in/sid-nei" TargetMode="External"/><Relationship Id="rId2" Type="http://schemas.openxmlformats.org/officeDocument/2006/relationships/hyperlink" Target="#TITULAR!B2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hyperlink" Target="https://github.com/geosidnei" TargetMode="External"/><Relationship Id="rId4" Type="http://schemas.openxmlformats.org/officeDocument/2006/relationships/hyperlink" Target="#NOTAS!B2"/><Relationship Id="rId9" Type="http://schemas.openxmlformats.org/officeDocument/2006/relationships/hyperlink" Target="#INFORMES!C4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TAS!C4"/><Relationship Id="rId3" Type="http://schemas.openxmlformats.org/officeDocument/2006/relationships/hyperlink" Target="#NOTAS!B2"/><Relationship Id="rId7" Type="http://schemas.openxmlformats.org/officeDocument/2006/relationships/image" Target="../media/image3.png"/><Relationship Id="rId2" Type="http://schemas.openxmlformats.org/officeDocument/2006/relationships/hyperlink" Target="#INFORMES!B2"/><Relationship Id="rId1" Type="http://schemas.openxmlformats.org/officeDocument/2006/relationships/hyperlink" Target="#TITULAR!B2"/><Relationship Id="rId6" Type="http://schemas.openxmlformats.org/officeDocument/2006/relationships/hyperlink" Target="https://linkedin.com/in/sid-nei" TargetMode="External"/><Relationship Id="rId11" Type="http://schemas.openxmlformats.org/officeDocument/2006/relationships/chart" Target="../charts/chart1.xml"/><Relationship Id="rId5" Type="http://schemas.openxmlformats.org/officeDocument/2006/relationships/image" Target="../media/image2.jpeg"/><Relationship Id="rId10" Type="http://schemas.openxmlformats.org/officeDocument/2006/relationships/image" Target="../media/image1.png"/><Relationship Id="rId4" Type="http://schemas.openxmlformats.org/officeDocument/2006/relationships/hyperlink" Target="https://github.com/geosidnei" TargetMode="External"/><Relationship Id="rId9" Type="http://schemas.openxmlformats.org/officeDocument/2006/relationships/hyperlink" Target="#TITULAR!C4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NOTAS!B2"/><Relationship Id="rId7" Type="http://schemas.openxmlformats.org/officeDocument/2006/relationships/image" Target="../media/image3.png"/><Relationship Id="rId2" Type="http://schemas.openxmlformats.org/officeDocument/2006/relationships/hyperlink" Target="#INFORMES!B2"/><Relationship Id="rId1" Type="http://schemas.openxmlformats.org/officeDocument/2006/relationships/hyperlink" Target="#TITULAR!B2"/><Relationship Id="rId6" Type="http://schemas.openxmlformats.org/officeDocument/2006/relationships/hyperlink" Target="https://linkedin.com/in/sid-nei" TargetMode="External"/><Relationship Id="rId11" Type="http://schemas.openxmlformats.org/officeDocument/2006/relationships/chart" Target="../charts/chart2.xml"/><Relationship Id="rId5" Type="http://schemas.openxmlformats.org/officeDocument/2006/relationships/image" Target="../media/image2.jpeg"/><Relationship Id="rId10" Type="http://schemas.openxmlformats.org/officeDocument/2006/relationships/hyperlink" Target="#TABELAS!C4"/><Relationship Id="rId4" Type="http://schemas.openxmlformats.org/officeDocument/2006/relationships/hyperlink" Target="https://github.com/geosidnei" TargetMode="External"/><Relationship Id="rId9" Type="http://schemas.openxmlformats.org/officeDocument/2006/relationships/hyperlink" Target="#INFORMES!C4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hyperlink" Target="#NOTAS!B2"/><Relationship Id="rId7" Type="http://schemas.openxmlformats.org/officeDocument/2006/relationships/image" Target="../media/image3.png"/><Relationship Id="rId12" Type="http://schemas.openxmlformats.org/officeDocument/2006/relationships/hyperlink" Target="#NOTAS!C4"/><Relationship Id="rId2" Type="http://schemas.openxmlformats.org/officeDocument/2006/relationships/hyperlink" Target="#INFORMES!B2"/><Relationship Id="rId1" Type="http://schemas.openxmlformats.org/officeDocument/2006/relationships/hyperlink" Target="#TITULAR!B2"/><Relationship Id="rId6" Type="http://schemas.openxmlformats.org/officeDocument/2006/relationships/hyperlink" Target="https://linkedin.com/in/sid-nei" TargetMode="External"/><Relationship Id="rId11" Type="http://schemas.openxmlformats.org/officeDocument/2006/relationships/hyperlink" Target="#CR&#201;DITOS!A2"/><Relationship Id="rId5" Type="http://schemas.openxmlformats.org/officeDocument/2006/relationships/image" Target="../media/image2.jpeg"/><Relationship Id="rId10" Type="http://schemas.openxmlformats.org/officeDocument/2006/relationships/hyperlink" Target="#TABELAS!A1"/><Relationship Id="rId4" Type="http://schemas.openxmlformats.org/officeDocument/2006/relationships/hyperlink" Target="https://github.com/geosidnei" TargetMode="External"/><Relationship Id="rId9" Type="http://schemas.openxmlformats.org/officeDocument/2006/relationships/hyperlink" Target="#TABELAS!B2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jpeg"/><Relationship Id="rId3" Type="http://schemas.openxmlformats.org/officeDocument/2006/relationships/hyperlink" Target="#TABELAS!C4"/><Relationship Id="rId7" Type="http://schemas.openxmlformats.org/officeDocument/2006/relationships/hyperlink" Target="https://github.com/geosidnei" TargetMode="External"/><Relationship Id="rId2" Type="http://schemas.openxmlformats.org/officeDocument/2006/relationships/hyperlink" Target="#TITULAR!A2"/><Relationship Id="rId1" Type="http://schemas.openxmlformats.org/officeDocument/2006/relationships/image" Target="../media/image1.png"/><Relationship Id="rId6" Type="http://schemas.openxmlformats.org/officeDocument/2006/relationships/hyperlink" Target="#NOTAS!B2"/><Relationship Id="rId5" Type="http://schemas.openxmlformats.org/officeDocument/2006/relationships/hyperlink" Target="#INFORMES!B2"/><Relationship Id="rId10" Type="http://schemas.openxmlformats.org/officeDocument/2006/relationships/image" Target="../media/image3.png"/><Relationship Id="rId4" Type="http://schemas.openxmlformats.org/officeDocument/2006/relationships/hyperlink" Target="#TITULAR!B2"/><Relationship Id="rId9" Type="http://schemas.openxmlformats.org/officeDocument/2006/relationships/hyperlink" Target="https://linkedin.com/in/sid-nei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0</xdr:col>
      <xdr:colOff>2338388</xdr:colOff>
      <xdr:row>10</xdr:row>
      <xdr:rowOff>143587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ACB768C0-F2AA-B554-5B0F-2B47C22851D4}"/>
            </a:ext>
          </a:extLst>
        </xdr:cNvPr>
        <xdr:cNvGrpSpPr/>
      </xdr:nvGrpSpPr>
      <xdr:grpSpPr>
        <a:xfrm>
          <a:off x="0" y="0"/>
          <a:ext cx="2338388" cy="2115262"/>
          <a:chOff x="85725" y="66675"/>
          <a:chExt cx="2338388" cy="2096212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91AFD0B7-4DD9-79BA-8273-FDF992A199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725" y="66675"/>
            <a:ext cx="2209800" cy="2096212"/>
          </a:xfrm>
          <a:prstGeom prst="rect">
            <a:avLst/>
          </a:prstGeom>
          <a:ln w="25400">
            <a:solidFill>
              <a:schemeClr val="tx1">
                <a:lumMod val="75000"/>
                <a:lumOff val="25000"/>
              </a:schemeClr>
            </a:solidFill>
          </a:ln>
        </xdr:spPr>
      </xdr:pic>
      <xdr:sp macro="" textlink="">
        <xdr:nvSpPr>
          <xdr:cNvPr id="2" name="Retângulo 1">
            <a:extLst>
              <a:ext uri="{FF2B5EF4-FFF2-40B4-BE49-F238E27FC236}">
                <a16:creationId xmlns:a16="http://schemas.microsoft.com/office/drawing/2014/main" id="{3F1B8806-814C-9D79-070D-37C1422CE506}"/>
              </a:ext>
            </a:extLst>
          </xdr:cNvPr>
          <xdr:cNvSpPr/>
        </xdr:nvSpPr>
        <xdr:spPr>
          <a:xfrm>
            <a:off x="1362075" y="1988088"/>
            <a:ext cx="1062038" cy="1457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he-IL" sz="1400" b="1">
                <a:solidFill>
                  <a:schemeClr val="accent1">
                    <a:lumMod val="60000"/>
                    <a:lumOff val="40000"/>
                  </a:schemeClr>
                </a:solidFill>
                <a:effectLst/>
                <a:latin typeface="Algerian" panose="04020705040A02060702" pitchFamily="82" charset="0"/>
                <a:ea typeface="+mn-ea"/>
                <a:cs typeface="+mn-cs"/>
              </a:rPr>
              <a:t>אינפואריאל</a:t>
            </a:r>
            <a:r>
              <a:rPr lang="pt-BR" sz="1400" b="1">
                <a:solidFill>
                  <a:schemeClr val="accent1">
                    <a:lumMod val="60000"/>
                    <a:lumOff val="40000"/>
                  </a:schemeClr>
                </a:solidFill>
                <a:latin typeface="Algerian" panose="04020705040A02060702" pitchFamily="82" charset="0"/>
              </a:rPr>
              <a:t> </a:t>
            </a:r>
          </a:p>
        </xdr:txBody>
      </xdr:sp>
    </xdr:grpSp>
    <xdr:clientData/>
  </xdr:twoCellAnchor>
  <xdr:twoCellAnchor>
    <xdr:from>
      <xdr:col>0</xdr:col>
      <xdr:colOff>122976</xdr:colOff>
      <xdr:row>12</xdr:row>
      <xdr:rowOff>160421</xdr:rowOff>
    </xdr:from>
    <xdr:to>
      <xdr:col>0</xdr:col>
      <xdr:colOff>2258582</xdr:colOff>
      <xdr:row>21</xdr:row>
      <xdr:rowOff>180694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50F750FC-725A-13A0-47F6-7C97D7F0CA10}"/>
            </a:ext>
          </a:extLst>
        </xdr:cNvPr>
        <xdr:cNvGrpSpPr/>
      </xdr:nvGrpSpPr>
      <xdr:grpSpPr>
        <a:xfrm>
          <a:off x="122976" y="2532146"/>
          <a:ext cx="2135606" cy="1820498"/>
          <a:chOff x="137441" y="2446421"/>
          <a:chExt cx="2135606" cy="1734773"/>
        </a:xfrm>
      </xdr:grpSpPr>
      <xdr:sp macro="" textlink="">
        <xdr:nvSpPr>
          <xdr:cNvPr id="5" name="Retângulo: Cantos Arredondados 4">
            <a:hlinkClick xmlns:r="http://schemas.openxmlformats.org/officeDocument/2006/relationships" r:id="rId2" tooltip="aba atual"/>
            <a:extLst>
              <a:ext uri="{FF2B5EF4-FFF2-40B4-BE49-F238E27FC236}">
                <a16:creationId xmlns:a16="http://schemas.microsoft.com/office/drawing/2014/main" id="{F8351D6D-E4BA-68AB-F19A-397784A0BC88}"/>
              </a:ext>
            </a:extLst>
          </xdr:cNvPr>
          <xdr:cNvSpPr/>
        </xdr:nvSpPr>
        <xdr:spPr>
          <a:xfrm>
            <a:off x="137441" y="2446421"/>
            <a:ext cx="2135606" cy="511342"/>
          </a:xfrm>
          <a:prstGeom prst="roundRect">
            <a:avLst>
              <a:gd name="adj" fmla="val 50000"/>
            </a:avLst>
          </a:prstGeom>
          <a:solidFill>
            <a:srgbClr val="FFFF0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b="1">
                <a:solidFill>
                  <a:schemeClr val="tx1"/>
                </a:solidFill>
                <a:latin typeface="Candara" panose="020E0502030303020204" pitchFamily="34" charset="0"/>
              </a:rPr>
              <a:t>Titular</a:t>
            </a:r>
          </a:p>
        </xdr:txBody>
      </xdr:sp>
      <xdr:sp macro="" textlink="">
        <xdr:nvSpPr>
          <xdr:cNvPr id="9" name="Retângulo: Cantos Arredondados 8">
            <a:hlinkClick xmlns:r="http://schemas.openxmlformats.org/officeDocument/2006/relationships" r:id="rId3" tooltip="Ir para aba Informes"/>
            <a:extLst>
              <a:ext uri="{FF2B5EF4-FFF2-40B4-BE49-F238E27FC236}">
                <a16:creationId xmlns:a16="http://schemas.microsoft.com/office/drawing/2014/main" id="{A5ECB278-FFDF-4333-90BC-00ACFECA8443}"/>
              </a:ext>
            </a:extLst>
          </xdr:cNvPr>
          <xdr:cNvSpPr/>
        </xdr:nvSpPr>
        <xdr:spPr>
          <a:xfrm>
            <a:off x="137441" y="3058136"/>
            <a:ext cx="2135606" cy="511342"/>
          </a:xfrm>
          <a:prstGeom prst="roundRect">
            <a:avLst>
              <a:gd name="adj" fmla="val 50000"/>
            </a:avLst>
          </a:prstGeom>
          <a:solidFill>
            <a:schemeClr val="bg1">
              <a:lumMod val="65000"/>
            </a:schemeClr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u="none">
                <a:solidFill>
                  <a:schemeClr val="tx1"/>
                </a:solidFill>
                <a:latin typeface="Candara" panose="020E0502030303020204" pitchFamily="34" charset="0"/>
              </a:rPr>
              <a:t>Informes</a:t>
            </a: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4" tooltip="Ir para aba Notas"/>
            <a:extLst>
              <a:ext uri="{FF2B5EF4-FFF2-40B4-BE49-F238E27FC236}">
                <a16:creationId xmlns:a16="http://schemas.microsoft.com/office/drawing/2014/main" id="{188DA322-F2ED-44BA-AB3A-4C9BFD227AC8}"/>
              </a:ext>
            </a:extLst>
          </xdr:cNvPr>
          <xdr:cNvSpPr/>
        </xdr:nvSpPr>
        <xdr:spPr>
          <a:xfrm>
            <a:off x="137441" y="3669852"/>
            <a:ext cx="2135606" cy="511342"/>
          </a:xfrm>
          <a:prstGeom prst="roundRect">
            <a:avLst>
              <a:gd name="adj" fmla="val 50000"/>
            </a:avLst>
          </a:prstGeom>
          <a:solidFill>
            <a:schemeClr val="bg1">
              <a:lumMod val="65000"/>
            </a:schemeClr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u="none">
                <a:solidFill>
                  <a:schemeClr val="tx1"/>
                </a:solidFill>
                <a:latin typeface="Candara" panose="020E0502030303020204" pitchFamily="34" charset="0"/>
              </a:rPr>
              <a:t>Notas</a:t>
            </a:r>
          </a:p>
        </xdr:txBody>
      </xdr:sp>
    </xdr:grpSp>
    <xdr:clientData/>
  </xdr:twoCellAnchor>
  <xdr:twoCellAnchor>
    <xdr:from>
      <xdr:col>0</xdr:col>
      <xdr:colOff>309717</xdr:colOff>
      <xdr:row>24</xdr:row>
      <xdr:rowOff>47623</xdr:rowOff>
    </xdr:from>
    <xdr:to>
      <xdr:col>0</xdr:col>
      <xdr:colOff>2071842</xdr:colOff>
      <xdr:row>25</xdr:row>
      <xdr:rowOff>142873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1DEC0330-BAB5-83FC-92A3-356285FEAECE}"/>
            </a:ext>
          </a:extLst>
        </xdr:cNvPr>
        <xdr:cNvSpPr/>
      </xdr:nvSpPr>
      <xdr:spPr>
        <a:xfrm>
          <a:off x="309717" y="4619623"/>
          <a:ext cx="1762125" cy="285750"/>
        </a:xfrm>
        <a:prstGeom prst="roundRect">
          <a:avLst>
            <a:gd name="adj" fmla="val 50000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© 2025-2026 - </a:t>
          </a:r>
          <a:r>
            <a:rPr lang="pt-BR" sz="1100"/>
            <a:t>by  DIO/S!D</a:t>
          </a:r>
        </a:p>
      </xdr:txBody>
    </xdr:sp>
    <xdr:clientData/>
  </xdr:twoCellAnchor>
  <xdr:twoCellAnchor>
    <xdr:from>
      <xdr:col>0</xdr:col>
      <xdr:colOff>208513</xdr:colOff>
      <xdr:row>23</xdr:row>
      <xdr:rowOff>18909</xdr:rowOff>
    </xdr:from>
    <xdr:to>
      <xdr:col>0</xdr:col>
      <xdr:colOff>2173046</xdr:colOff>
      <xdr:row>23</xdr:row>
      <xdr:rowOff>18909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395DCA8-364E-4BEE-B47B-2FB256B5B5C9}"/>
            </a:ext>
          </a:extLst>
        </xdr:cNvPr>
        <xdr:cNvCxnSpPr/>
      </xdr:nvCxnSpPr>
      <xdr:spPr>
        <a:xfrm>
          <a:off x="208513" y="4400409"/>
          <a:ext cx="1964533" cy="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26</xdr:row>
      <xdr:rowOff>127000</xdr:rowOff>
    </xdr:from>
    <xdr:to>
      <xdr:col>0</xdr:col>
      <xdr:colOff>914399</xdr:colOff>
      <xdr:row>29</xdr:row>
      <xdr:rowOff>88899</xdr:rowOff>
    </xdr:to>
    <xdr:pic>
      <xdr:nvPicPr>
        <xdr:cNvPr id="8" name="icon_github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234C641-CFB7-F9B4-DBD5-91952C0D8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080000"/>
          <a:ext cx="533399" cy="533399"/>
        </a:xfrm>
        <a:prstGeom prst="rect">
          <a:avLst/>
        </a:prstGeom>
      </xdr:spPr>
    </xdr:pic>
    <xdr:clientData/>
  </xdr:twoCellAnchor>
  <xdr:twoCellAnchor>
    <xdr:from>
      <xdr:col>0</xdr:col>
      <xdr:colOff>1524000</xdr:colOff>
      <xdr:row>26</xdr:row>
      <xdr:rowOff>127000</xdr:rowOff>
    </xdr:from>
    <xdr:to>
      <xdr:col>0</xdr:col>
      <xdr:colOff>2056800</xdr:colOff>
      <xdr:row>29</xdr:row>
      <xdr:rowOff>88300</xdr:rowOff>
    </xdr:to>
    <xdr:pic>
      <xdr:nvPicPr>
        <xdr:cNvPr id="13" name="icon_linkedin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78E65F5-3F7F-D648-036A-9CC3AA197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5080000"/>
          <a:ext cx="532800" cy="532800"/>
        </a:xfrm>
        <a:prstGeom prst="rect">
          <a:avLst/>
        </a:prstGeom>
      </xdr:spPr>
    </xdr:pic>
    <xdr:clientData/>
  </xdr:twoCellAnchor>
  <xdr:twoCellAnchor editAs="absolute">
    <xdr:from>
      <xdr:col>2</xdr:col>
      <xdr:colOff>4076699</xdr:colOff>
      <xdr:row>24</xdr:row>
      <xdr:rowOff>180975</xdr:rowOff>
    </xdr:from>
    <xdr:to>
      <xdr:col>3</xdr:col>
      <xdr:colOff>2543174</xdr:colOff>
      <xdr:row>26</xdr:row>
      <xdr:rowOff>47625</xdr:rowOff>
    </xdr:to>
    <xdr:sp macro="" textlink="">
      <xdr:nvSpPr>
        <xdr:cNvPr id="7" name="Retângulo 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EA924BB-EB3D-F11B-FA98-8E80F577B8AF}"/>
            </a:ext>
          </a:extLst>
        </xdr:cNvPr>
        <xdr:cNvSpPr/>
      </xdr:nvSpPr>
      <xdr:spPr>
        <a:xfrm>
          <a:off x="6677024" y="5153025"/>
          <a:ext cx="2714625" cy="2667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</a:t>
          </a:r>
          <a:r>
            <a:rPr lang="pt-B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</a:t>
          </a:r>
          <a:endParaRPr lang="pt-B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122976</xdr:colOff>
      <xdr:row>12</xdr:row>
      <xdr:rowOff>160422</xdr:rowOff>
    </xdr:from>
    <xdr:to>
      <xdr:col>0</xdr:col>
      <xdr:colOff>2258582</xdr:colOff>
      <xdr:row>21</xdr:row>
      <xdr:rowOff>180696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A5B003D1-A89A-4E26-AB9E-E06321122E49}"/>
            </a:ext>
          </a:extLst>
        </xdr:cNvPr>
        <xdr:cNvGrpSpPr/>
      </xdr:nvGrpSpPr>
      <xdr:grpSpPr>
        <a:xfrm>
          <a:off x="122976" y="2665497"/>
          <a:ext cx="2135606" cy="1782399"/>
          <a:chOff x="137441" y="2446421"/>
          <a:chExt cx="2135606" cy="1734773"/>
        </a:xfrm>
      </xdr:grpSpPr>
      <xdr:sp macro="" textlink="">
        <xdr:nvSpPr>
          <xdr:cNvPr id="6" name="Retângulo: Cantos Arredondados 5">
            <a:hlinkClick xmlns:r="http://schemas.openxmlformats.org/officeDocument/2006/relationships" r:id="rId1" tooltip="ir para aba Titular"/>
            <a:extLst>
              <a:ext uri="{FF2B5EF4-FFF2-40B4-BE49-F238E27FC236}">
                <a16:creationId xmlns:a16="http://schemas.microsoft.com/office/drawing/2014/main" id="{88691990-440D-59E1-225D-BF82B8F30A45}"/>
              </a:ext>
            </a:extLst>
          </xdr:cNvPr>
          <xdr:cNvSpPr/>
        </xdr:nvSpPr>
        <xdr:spPr>
          <a:xfrm>
            <a:off x="137441" y="2446421"/>
            <a:ext cx="2135606" cy="511342"/>
          </a:xfrm>
          <a:prstGeom prst="roundRect">
            <a:avLst>
              <a:gd name="adj" fmla="val 50000"/>
            </a:avLst>
          </a:prstGeom>
          <a:solidFill>
            <a:schemeClr val="bg1">
              <a:lumMod val="65000"/>
            </a:schemeClr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>
                <a:solidFill>
                  <a:schemeClr val="tx1"/>
                </a:solidFill>
                <a:latin typeface="Candara" panose="020E0502030303020204" pitchFamily="34" charset="0"/>
              </a:rPr>
              <a:t>Titular</a:t>
            </a: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2" tooltip="Aba atual."/>
            <a:extLst>
              <a:ext uri="{FF2B5EF4-FFF2-40B4-BE49-F238E27FC236}">
                <a16:creationId xmlns:a16="http://schemas.microsoft.com/office/drawing/2014/main" id="{65EA5451-050C-3251-7286-2EC50D979FCF}"/>
              </a:ext>
            </a:extLst>
          </xdr:cNvPr>
          <xdr:cNvSpPr/>
        </xdr:nvSpPr>
        <xdr:spPr>
          <a:xfrm>
            <a:off x="137441" y="3058136"/>
            <a:ext cx="2135606" cy="511342"/>
          </a:xfrm>
          <a:prstGeom prst="roundRect">
            <a:avLst>
              <a:gd name="adj" fmla="val 50000"/>
            </a:avLst>
          </a:prstGeom>
          <a:solidFill>
            <a:srgbClr val="FFFF00"/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u="none" baseline="0">
                <a:solidFill>
                  <a:schemeClr val="tx1"/>
                </a:solidFill>
                <a:latin typeface="Candara" panose="020E0502030303020204" pitchFamily="34" charset="0"/>
              </a:rPr>
              <a:t>Informes</a:t>
            </a:r>
          </a:p>
        </xdr:txBody>
      </xdr:sp>
      <xdr:sp macro="" textlink="">
        <xdr:nvSpPr>
          <xdr:cNvPr id="8" name="Retângulo: Cantos Arredondados 7">
            <a:hlinkClick xmlns:r="http://schemas.openxmlformats.org/officeDocument/2006/relationships" r:id="rId3" tooltip="ir para aba Notas"/>
            <a:extLst>
              <a:ext uri="{FF2B5EF4-FFF2-40B4-BE49-F238E27FC236}">
                <a16:creationId xmlns:a16="http://schemas.microsoft.com/office/drawing/2014/main" id="{AC3ADE88-C24D-87F3-613E-89AD89AE233F}"/>
              </a:ext>
            </a:extLst>
          </xdr:cNvPr>
          <xdr:cNvSpPr/>
        </xdr:nvSpPr>
        <xdr:spPr>
          <a:xfrm>
            <a:off x="137441" y="3669852"/>
            <a:ext cx="2135606" cy="511342"/>
          </a:xfrm>
          <a:prstGeom prst="roundRect">
            <a:avLst>
              <a:gd name="adj" fmla="val 50000"/>
            </a:avLst>
          </a:prstGeom>
          <a:solidFill>
            <a:schemeClr val="bg1">
              <a:lumMod val="65000"/>
            </a:schemeClr>
          </a:solidFill>
          <a:ln>
            <a:noFill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 u="none">
                <a:solidFill>
                  <a:schemeClr val="tx1"/>
                </a:solidFill>
                <a:latin typeface="Candara" panose="020E0502030303020204" pitchFamily="34" charset="0"/>
              </a:rPr>
              <a:t>Notas</a:t>
            </a:r>
          </a:p>
        </xdr:txBody>
      </xdr:sp>
    </xdr:grpSp>
    <xdr:clientData/>
  </xdr:twoCellAnchor>
  <xdr:twoCellAnchor>
    <xdr:from>
      <xdr:col>0</xdr:col>
      <xdr:colOff>309717</xdr:colOff>
      <xdr:row>24</xdr:row>
      <xdr:rowOff>47623</xdr:rowOff>
    </xdr:from>
    <xdr:to>
      <xdr:col>0</xdr:col>
      <xdr:colOff>2071842</xdr:colOff>
      <xdr:row>25</xdr:row>
      <xdr:rowOff>142873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69ED8638-AEEA-40E4-89FF-57EC616A7947}"/>
            </a:ext>
          </a:extLst>
        </xdr:cNvPr>
        <xdr:cNvSpPr/>
      </xdr:nvSpPr>
      <xdr:spPr>
        <a:xfrm>
          <a:off x="309717" y="4619623"/>
          <a:ext cx="1762125" cy="285750"/>
        </a:xfrm>
        <a:prstGeom prst="roundRect">
          <a:avLst>
            <a:gd name="adj" fmla="val 50000"/>
          </a:avLst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© 2025-2026 - </a:t>
          </a:r>
          <a:r>
            <a:rPr lang="pt-BR" sz="1100"/>
            <a:t>by  DIO/S!D</a:t>
          </a:r>
        </a:p>
      </xdr:txBody>
    </xdr:sp>
    <xdr:clientData/>
  </xdr:twoCellAnchor>
  <xdr:twoCellAnchor>
    <xdr:from>
      <xdr:col>0</xdr:col>
      <xdr:colOff>208513</xdr:colOff>
      <xdr:row>23</xdr:row>
      <xdr:rowOff>18909</xdr:rowOff>
    </xdr:from>
    <xdr:to>
      <xdr:col>0</xdr:col>
      <xdr:colOff>2173046</xdr:colOff>
      <xdr:row>23</xdr:row>
      <xdr:rowOff>18909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14060671-DDB9-4FC3-A571-8C12AE36213D}"/>
            </a:ext>
          </a:extLst>
        </xdr:cNvPr>
        <xdr:cNvCxnSpPr/>
      </xdr:nvCxnSpPr>
      <xdr:spPr>
        <a:xfrm>
          <a:off x="208513" y="4400409"/>
          <a:ext cx="1964533" cy="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381000</xdr:colOff>
      <xdr:row>26</xdr:row>
      <xdr:rowOff>127000</xdr:rowOff>
    </xdr:from>
    <xdr:to>
      <xdr:col>0</xdr:col>
      <xdr:colOff>914399</xdr:colOff>
      <xdr:row>29</xdr:row>
      <xdr:rowOff>88899</xdr:rowOff>
    </xdr:to>
    <xdr:pic>
      <xdr:nvPicPr>
        <xdr:cNvPr id="12" name="icon_github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320875C-70AA-C273-3EC0-15E1B9D3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5080000"/>
          <a:ext cx="533399" cy="533399"/>
        </a:xfrm>
        <a:prstGeom prst="rect">
          <a:avLst/>
        </a:prstGeom>
      </xdr:spPr>
    </xdr:pic>
    <xdr:clientData/>
  </xdr:twoCellAnchor>
  <xdr:twoCellAnchor>
    <xdr:from>
      <xdr:col>0</xdr:col>
      <xdr:colOff>1524000</xdr:colOff>
      <xdr:row>26</xdr:row>
      <xdr:rowOff>127000</xdr:rowOff>
    </xdr:from>
    <xdr:to>
      <xdr:col>0</xdr:col>
      <xdr:colOff>2056800</xdr:colOff>
      <xdr:row>29</xdr:row>
      <xdr:rowOff>88300</xdr:rowOff>
    </xdr:to>
    <xdr:pic>
      <xdr:nvPicPr>
        <xdr:cNvPr id="13" name="icon_linkedin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B6C2F45-40B7-41A3-777C-69A5565CA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5080000"/>
          <a:ext cx="532800" cy="532800"/>
        </a:xfrm>
        <a:prstGeom prst="rect">
          <a:avLst/>
        </a:prstGeom>
      </xdr:spPr>
    </xdr:pic>
    <xdr:clientData/>
  </xdr:twoCellAnchor>
  <xdr:twoCellAnchor editAs="absolute">
    <xdr:from>
      <xdr:col>3</xdr:col>
      <xdr:colOff>1666875</xdr:colOff>
      <xdr:row>27</xdr:row>
      <xdr:rowOff>19050</xdr:rowOff>
    </xdr:from>
    <xdr:to>
      <xdr:col>6</xdr:col>
      <xdr:colOff>514350</xdr:colOff>
      <xdr:row>28</xdr:row>
      <xdr:rowOff>95250</xdr:rowOff>
    </xdr:to>
    <xdr:sp macro="" textlink="">
      <xdr:nvSpPr>
        <xdr:cNvPr id="16" name="Retângulo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EAB4C4D-4EAC-429C-9CE7-32B8889B3300}"/>
            </a:ext>
          </a:extLst>
        </xdr:cNvPr>
        <xdr:cNvSpPr/>
      </xdr:nvSpPr>
      <xdr:spPr>
        <a:xfrm>
          <a:off x="5981700" y="5448300"/>
          <a:ext cx="2714625" cy="266700"/>
        </a:xfrm>
        <a:prstGeom prst="rect">
          <a:avLst/>
        </a:prstGeom>
        <a:gradFill rotWithShape="1">
          <a:gsLst>
            <a:gs pos="0">
              <a:srgbClr val="A02B93">
                <a:lumMod val="110000"/>
                <a:satMod val="105000"/>
                <a:tint val="67000"/>
              </a:srgbClr>
            </a:gs>
            <a:gs pos="50000">
              <a:srgbClr val="A02B93">
                <a:lumMod val="105000"/>
                <a:satMod val="103000"/>
                <a:tint val="73000"/>
              </a:srgbClr>
            </a:gs>
            <a:gs pos="100000">
              <a:srgbClr val="A02B93">
                <a:lumMod val="105000"/>
                <a:satMod val="109000"/>
                <a:tint val="81000"/>
              </a:srgbClr>
            </a:gs>
          </a:gsLst>
          <a:lin ang="5400000" scaled="0"/>
        </a:gradFill>
        <a:ln w="12700" cap="flat" cmpd="sng" algn="ctr">
          <a:solidFill>
            <a:srgbClr val="A02B93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Próximo →</a:t>
          </a:r>
        </a:p>
      </xdr:txBody>
    </xdr:sp>
    <xdr:clientData/>
  </xdr:twoCellAnchor>
  <xdr:twoCellAnchor editAs="absolute">
    <xdr:from>
      <xdr:col>2</xdr:col>
      <xdr:colOff>0</xdr:colOff>
      <xdr:row>27</xdr:row>
      <xdr:rowOff>19050</xdr:rowOff>
    </xdr:from>
    <xdr:to>
      <xdr:col>3</xdr:col>
      <xdr:colOff>1000125</xdr:colOff>
      <xdr:row>28</xdr:row>
      <xdr:rowOff>95250</xdr:rowOff>
    </xdr:to>
    <xdr:sp macro="" textlink="">
      <xdr:nvSpPr>
        <xdr:cNvPr id="20" name="Retâ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E24E64A-ACC1-48AA-A8D0-095030B3AFEE}"/>
            </a:ext>
          </a:extLst>
        </xdr:cNvPr>
        <xdr:cNvSpPr/>
      </xdr:nvSpPr>
      <xdr:spPr>
        <a:xfrm>
          <a:off x="2600325" y="5448300"/>
          <a:ext cx="2714625" cy="266700"/>
        </a:xfrm>
        <a:prstGeom prst="rect">
          <a:avLst/>
        </a:prstGeom>
        <a:gradFill rotWithShape="1">
          <a:gsLst>
            <a:gs pos="0">
              <a:srgbClr val="A02B93">
                <a:lumMod val="110000"/>
                <a:satMod val="105000"/>
                <a:tint val="67000"/>
              </a:srgbClr>
            </a:gs>
            <a:gs pos="50000">
              <a:srgbClr val="A02B93">
                <a:lumMod val="105000"/>
                <a:satMod val="103000"/>
                <a:tint val="73000"/>
              </a:srgbClr>
            </a:gs>
            <a:gs pos="100000">
              <a:srgbClr val="A02B93">
                <a:lumMod val="105000"/>
                <a:satMod val="109000"/>
                <a:tint val="81000"/>
              </a:srgbClr>
            </a:gs>
          </a:gsLst>
          <a:lin ang="5400000" scaled="0"/>
        </a:gradFill>
        <a:ln w="12700" cap="flat" cmpd="sng" algn="ctr">
          <a:solidFill>
            <a:srgbClr val="A02B93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u="none" strike="noStrike">
              <a:effectLst/>
              <a:latin typeface="+mn-lt"/>
              <a:ea typeface="+mn-ea"/>
              <a:cs typeface="+mn-cs"/>
            </a:rPr>
            <a:t>← </a:t>
          </a: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Anterior</a:t>
          </a: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2338388</xdr:colOff>
      <xdr:row>10</xdr:row>
      <xdr:rowOff>10237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DAF8C76-2DFD-48A4-B26C-D4CA7EB0D9D4}"/>
            </a:ext>
          </a:extLst>
        </xdr:cNvPr>
        <xdr:cNvGrpSpPr/>
      </xdr:nvGrpSpPr>
      <xdr:grpSpPr>
        <a:xfrm>
          <a:off x="0" y="0"/>
          <a:ext cx="2338388" cy="2115262"/>
          <a:chOff x="85725" y="66675"/>
          <a:chExt cx="2338388" cy="2096212"/>
        </a:xfrm>
      </xdr:grpSpPr>
      <xdr:pic>
        <xdr:nvPicPr>
          <xdr:cNvPr id="23" name="Imagem 22">
            <a:extLst>
              <a:ext uri="{FF2B5EF4-FFF2-40B4-BE49-F238E27FC236}">
                <a16:creationId xmlns:a16="http://schemas.microsoft.com/office/drawing/2014/main" id="{3C5C83BB-5C79-779B-8DC1-0EC81C8FD50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5725" y="66675"/>
            <a:ext cx="2209800" cy="2096212"/>
          </a:xfrm>
          <a:prstGeom prst="rect">
            <a:avLst/>
          </a:prstGeom>
          <a:ln w="25400">
            <a:solidFill>
              <a:schemeClr val="tx1">
                <a:lumMod val="75000"/>
                <a:lumOff val="25000"/>
              </a:schemeClr>
            </a:solidFill>
          </a:ln>
        </xdr:spPr>
      </xdr:pic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D8A668AF-1881-A925-F625-7D55B6EA5398}"/>
              </a:ext>
            </a:extLst>
          </xdr:cNvPr>
          <xdr:cNvSpPr/>
        </xdr:nvSpPr>
        <xdr:spPr>
          <a:xfrm>
            <a:off x="1362075" y="1988088"/>
            <a:ext cx="1062038" cy="14577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he-IL" sz="1400" b="1">
                <a:solidFill>
                  <a:schemeClr val="accent1">
                    <a:lumMod val="60000"/>
                    <a:lumOff val="40000"/>
                  </a:schemeClr>
                </a:solidFill>
                <a:effectLst/>
                <a:latin typeface="Algerian" panose="04020705040A02060702" pitchFamily="82" charset="0"/>
                <a:ea typeface="+mn-ea"/>
                <a:cs typeface="+mn-cs"/>
              </a:rPr>
              <a:t>אינפואריאל</a:t>
            </a:r>
            <a:r>
              <a:rPr lang="pt-BR" sz="1400" b="1">
                <a:solidFill>
                  <a:schemeClr val="accent1">
                    <a:lumMod val="60000"/>
                    <a:lumOff val="40000"/>
                  </a:schemeClr>
                </a:solidFill>
                <a:latin typeface="Algerian" panose="04020705040A02060702" pitchFamily="82" charset="0"/>
              </a:rPr>
              <a:t> </a:t>
            </a:r>
          </a:p>
        </xdr:txBody>
      </xdr:sp>
    </xdr:grpSp>
    <xdr:clientData/>
  </xdr:twoCellAnchor>
  <xdr:twoCellAnchor>
    <xdr:from>
      <xdr:col>4</xdr:col>
      <xdr:colOff>361949</xdr:colOff>
      <xdr:row>7</xdr:row>
      <xdr:rowOff>61911</xdr:rowOff>
    </xdr:from>
    <xdr:to>
      <xdr:col>12</xdr:col>
      <xdr:colOff>200024</xdr:colOff>
      <xdr:row>22</xdr:row>
      <xdr:rowOff>161924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2B1C2C59-442E-77AC-2272-E0C2DA727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2338388</xdr:colOff>
      <xdr:row>31</xdr:row>
      <xdr:rowOff>88899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EF1F013A-DFD5-9F31-D49A-F89150FF3552}"/>
            </a:ext>
          </a:extLst>
        </xdr:cNvPr>
        <xdr:cNvGrpSpPr/>
      </xdr:nvGrpSpPr>
      <xdr:grpSpPr>
        <a:xfrm>
          <a:off x="0" y="0"/>
          <a:ext cx="2338388" cy="6184899"/>
          <a:chOff x="0" y="0"/>
          <a:chExt cx="2338388" cy="5725458"/>
        </a:xfrm>
      </xdr:grpSpPr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E34EFF0E-5DAF-4DBB-B9A7-09B09E6DB3A5}"/>
              </a:ext>
            </a:extLst>
          </xdr:cNvPr>
          <xdr:cNvGrpSpPr/>
        </xdr:nvGrpSpPr>
        <xdr:grpSpPr>
          <a:xfrm>
            <a:off x="122976" y="2497687"/>
            <a:ext cx="2135606" cy="1767153"/>
            <a:chOff x="137441" y="2446421"/>
            <a:chExt cx="2135606" cy="1734773"/>
          </a:xfrm>
        </xdr:grpSpPr>
        <xdr:sp macro="" textlink="">
          <xdr:nvSpPr>
            <xdr:cNvPr id="6" name="Retângulo: Cantos Arredondados 5">
              <a:hlinkClick xmlns:r="http://schemas.openxmlformats.org/officeDocument/2006/relationships" r:id="rId1" tooltip="ir para aba Titular"/>
              <a:extLst>
                <a:ext uri="{FF2B5EF4-FFF2-40B4-BE49-F238E27FC236}">
                  <a16:creationId xmlns:a16="http://schemas.microsoft.com/office/drawing/2014/main" id="{825DFE97-5267-5A02-1E3B-02E3B88D3978}"/>
                </a:ext>
              </a:extLst>
            </xdr:cNvPr>
            <xdr:cNvSpPr/>
          </xdr:nvSpPr>
          <xdr:spPr>
            <a:xfrm>
              <a:off x="137441" y="2446421"/>
              <a:ext cx="2135606" cy="511342"/>
            </a:xfrm>
            <a:prstGeom prst="roundRect">
              <a:avLst>
                <a:gd name="adj" fmla="val 50000"/>
              </a:avLst>
            </a:prstGeom>
            <a:solidFill>
              <a:schemeClr val="bg1">
                <a:lumMod val="65000"/>
              </a:schemeClr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solidFill>
                    <a:schemeClr val="tx1"/>
                  </a:solidFill>
                  <a:latin typeface="Candara" panose="020E0502030303020204" pitchFamily="34" charset="0"/>
                </a:rPr>
                <a:t>Titular</a:t>
              </a:r>
            </a:p>
          </xdr:txBody>
        </xdr:sp>
        <xdr:sp macro="" textlink="">
          <xdr:nvSpPr>
            <xdr:cNvPr id="7" name="Retângulo: Cantos Arredondados 6">
              <a:hlinkClick xmlns:r="http://schemas.openxmlformats.org/officeDocument/2006/relationships" r:id="rId2" tooltip="ir para aba Informes"/>
              <a:extLst>
                <a:ext uri="{FF2B5EF4-FFF2-40B4-BE49-F238E27FC236}">
                  <a16:creationId xmlns:a16="http://schemas.microsoft.com/office/drawing/2014/main" id="{4FF0CE1A-75D1-F7F1-805F-A89E3EC784E7}"/>
                </a:ext>
              </a:extLst>
            </xdr:cNvPr>
            <xdr:cNvSpPr/>
          </xdr:nvSpPr>
          <xdr:spPr>
            <a:xfrm>
              <a:off x="137441" y="3058136"/>
              <a:ext cx="2135606" cy="511342"/>
            </a:xfrm>
            <a:prstGeom prst="roundRect">
              <a:avLst>
                <a:gd name="adj" fmla="val 50000"/>
              </a:avLst>
            </a:prstGeom>
            <a:solidFill>
              <a:schemeClr val="bg1">
                <a:lumMod val="65000"/>
              </a:schemeClr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u="none">
                  <a:solidFill>
                    <a:schemeClr val="tx1"/>
                  </a:solidFill>
                  <a:latin typeface="Candara" panose="020E0502030303020204" pitchFamily="34" charset="0"/>
                </a:rPr>
                <a:t>Informes</a:t>
              </a:r>
            </a:p>
          </xdr:txBody>
        </xdr:sp>
        <xdr:sp macro="" textlink="">
          <xdr:nvSpPr>
            <xdr:cNvPr id="8" name="Retângulo: Cantos Arredondados 7">
              <a:hlinkClick xmlns:r="http://schemas.openxmlformats.org/officeDocument/2006/relationships" r:id="rId3" tooltip="aba atual"/>
              <a:extLst>
                <a:ext uri="{FF2B5EF4-FFF2-40B4-BE49-F238E27FC236}">
                  <a16:creationId xmlns:a16="http://schemas.microsoft.com/office/drawing/2014/main" id="{DD37D081-1AF1-01E4-DD92-75F6CE9EA610}"/>
                </a:ext>
              </a:extLst>
            </xdr:cNvPr>
            <xdr:cNvSpPr/>
          </xdr:nvSpPr>
          <xdr:spPr>
            <a:xfrm>
              <a:off x="137441" y="3669852"/>
              <a:ext cx="2135606" cy="511342"/>
            </a:xfrm>
            <a:prstGeom prst="roundRect">
              <a:avLst>
                <a:gd name="adj" fmla="val 50000"/>
              </a:avLst>
            </a:prstGeom>
            <a:solidFill>
              <a:srgbClr val="FFFF00"/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u="none">
                  <a:solidFill>
                    <a:schemeClr val="tx1"/>
                  </a:solidFill>
                  <a:latin typeface="Candara" panose="020E0502030303020204" pitchFamily="34" charset="0"/>
                </a:rPr>
                <a:t>Notas</a:t>
              </a:r>
            </a:p>
          </xdr:txBody>
        </xdr:sp>
      </xdr:grpSp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160F6FB-FBA4-46E5-ADD9-20FA8675E1A8}"/>
              </a:ext>
            </a:extLst>
          </xdr:cNvPr>
          <xdr:cNvSpPr/>
        </xdr:nvSpPr>
        <xdr:spPr>
          <a:xfrm>
            <a:off x="309717" y="4711452"/>
            <a:ext cx="1762125" cy="291084"/>
          </a:xfrm>
          <a:prstGeom prst="roundRect">
            <a:avLst>
              <a:gd name="adj" fmla="val 50000"/>
            </a:avLst>
          </a:prstGeom>
          <a:solidFill>
            <a:srgbClr val="00206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© 2025-2026 - </a:t>
            </a:r>
            <a:r>
              <a:rPr lang="pt-BR" sz="1100"/>
              <a:t>by  DIO/S!D</a:t>
            </a:r>
          </a:p>
        </xdr:txBody>
      </xdr: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DFCA673C-0149-42FA-A6DF-DEE6DF5DAA6A}"/>
              </a:ext>
            </a:extLst>
          </xdr:cNvPr>
          <xdr:cNvCxnSpPr/>
        </xdr:nvCxnSpPr>
        <xdr:spPr>
          <a:xfrm>
            <a:off x="208513" y="4488146"/>
            <a:ext cx="1964533" cy="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12" name="icon_github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6B9B2ED3-188C-6988-7B82-2C844E88A7F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0" y="5180422"/>
            <a:ext cx="533399" cy="545036"/>
          </a:xfrm>
          <a:prstGeom prst="rect">
            <a:avLst/>
          </a:prstGeom>
        </xdr:spPr>
      </xdr:pic>
      <xdr:pic>
        <xdr:nvPicPr>
          <xdr:cNvPr id="13" name="icon_linkedin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6F8A0387-1D52-F58E-9B4A-8E435B7590F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4000" y="5180422"/>
            <a:ext cx="532800" cy="544426"/>
          </a:xfrm>
          <a:prstGeom prst="rect">
            <a:avLst/>
          </a:prstGeom>
        </xdr:spPr>
      </xdr:pic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C2D53FB6-C783-4C69-A43E-42D8093243D0}"/>
              </a:ext>
            </a:extLst>
          </xdr:cNvPr>
          <xdr:cNvGrpSpPr/>
        </xdr:nvGrpSpPr>
        <xdr:grpSpPr>
          <a:xfrm>
            <a:off x="0" y="0"/>
            <a:ext cx="2338388" cy="2160347"/>
            <a:chOff x="85725" y="66675"/>
            <a:chExt cx="2338388" cy="2096212"/>
          </a:xfrm>
        </xdr:grpSpPr>
        <xdr:pic>
          <xdr:nvPicPr>
            <xdr:cNvPr id="14" name="Imagem 13">
              <a:extLst>
                <a:ext uri="{FF2B5EF4-FFF2-40B4-BE49-F238E27FC236}">
                  <a16:creationId xmlns:a16="http://schemas.microsoft.com/office/drawing/2014/main" id="{7B536AAC-1560-8F79-0B38-7C755F18EFD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5725" y="66675"/>
              <a:ext cx="2209800" cy="2096212"/>
            </a:xfrm>
            <a:prstGeom prst="rect">
              <a:avLst/>
            </a:prstGeom>
            <a:ln w="25400">
              <a:solidFill>
                <a:schemeClr val="tx1">
                  <a:lumMod val="75000"/>
                  <a:lumOff val="25000"/>
                </a:schemeClr>
              </a:solidFill>
            </a:ln>
          </xdr:spPr>
        </xdr:pic>
        <xdr:sp macro="" textlink="">
          <xdr:nvSpPr>
            <xdr:cNvPr id="15" name="Retângulo 14">
              <a:extLst>
                <a:ext uri="{FF2B5EF4-FFF2-40B4-BE49-F238E27FC236}">
                  <a16:creationId xmlns:a16="http://schemas.microsoft.com/office/drawing/2014/main" id="{CCFCE5E7-DD54-960D-2A0D-6CDEE973C100}"/>
                </a:ext>
              </a:extLst>
            </xdr:cNvPr>
            <xdr:cNvSpPr/>
          </xdr:nvSpPr>
          <xdr:spPr>
            <a:xfrm>
              <a:off x="1362075" y="1988088"/>
              <a:ext cx="1062038" cy="14577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he-IL" sz="1400" b="1">
                  <a:solidFill>
                    <a:schemeClr val="accent1">
                      <a:lumMod val="60000"/>
                      <a:lumOff val="40000"/>
                    </a:schemeClr>
                  </a:solidFill>
                  <a:effectLst/>
                  <a:latin typeface="Algerian" panose="04020705040A02060702" pitchFamily="82" charset="0"/>
                  <a:ea typeface="+mn-ea"/>
                  <a:cs typeface="+mn-cs"/>
                </a:rPr>
                <a:t>אינפואריאל</a:t>
              </a:r>
              <a:r>
                <a:rPr lang="pt-BR" sz="1400" b="1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Algerian" panose="04020705040A02060702" pitchFamily="82" charset="0"/>
                </a:rPr>
                <a:t> </a:t>
              </a:r>
            </a:p>
          </xdr:txBody>
        </xdr:sp>
      </xdr:grpSp>
    </xdr:grpSp>
    <xdr:clientData/>
  </xdr:twoCellAnchor>
  <xdr:twoCellAnchor>
    <xdr:from>
      <xdr:col>2</xdr:col>
      <xdr:colOff>425823</xdr:colOff>
      <xdr:row>30</xdr:row>
      <xdr:rowOff>189110</xdr:rowOff>
    </xdr:from>
    <xdr:to>
      <xdr:col>4</xdr:col>
      <xdr:colOff>131971</xdr:colOff>
      <xdr:row>32</xdr:row>
      <xdr:rowOff>168088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2D005A14-2A63-9E6A-0552-34738233513C}"/>
            </a:ext>
          </a:extLst>
        </xdr:cNvPr>
        <xdr:cNvGrpSpPr/>
      </xdr:nvGrpSpPr>
      <xdr:grpSpPr>
        <a:xfrm>
          <a:off x="3021386" y="6082704"/>
          <a:ext cx="1801648" cy="383790"/>
          <a:chOff x="2644050" y="5035648"/>
          <a:chExt cx="1615051" cy="255077"/>
        </a:xfrm>
      </xdr:grpSpPr>
      <xdr:sp macro="" textlink="">
        <xdr:nvSpPr>
          <xdr:cNvPr id="4" name="Retângulo 3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C1395226-8BF9-68EE-2E0F-A44A3C4C4B41}"/>
              </a:ext>
            </a:extLst>
          </xdr:cNvPr>
          <xdr:cNvSpPr/>
        </xdr:nvSpPr>
        <xdr:spPr>
          <a:xfrm>
            <a:off x="2644050" y="5035648"/>
            <a:ext cx="792000" cy="2520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>
                <a:effectLst/>
                <a:latin typeface="+mn-lt"/>
                <a:ea typeface="+mn-ea"/>
                <a:cs typeface="+mn-cs"/>
              </a:rPr>
              <a:t>← </a:t>
            </a: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Anterior</a:t>
            </a:r>
          </a:p>
        </xdr:txBody>
      </xdr:sp>
      <xdr:sp macro="" textlink="">
        <xdr:nvSpPr>
          <xdr:cNvPr id="21" name="Retângulo 20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90AEB9DA-146F-7C91-5B61-C999DBE1FC56}"/>
              </a:ext>
            </a:extLst>
          </xdr:cNvPr>
          <xdr:cNvSpPr/>
        </xdr:nvSpPr>
        <xdr:spPr>
          <a:xfrm>
            <a:off x="3467101" y="5038725"/>
            <a:ext cx="792000" cy="2520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Próximo →</a:t>
            </a:r>
          </a:p>
        </xdr:txBody>
      </xdr:sp>
    </xdr:grpSp>
    <xdr:clientData/>
  </xdr:twoCellAnchor>
  <xdr:twoCellAnchor>
    <xdr:from>
      <xdr:col>5</xdr:col>
      <xdr:colOff>179295</xdr:colOff>
      <xdr:row>7</xdr:row>
      <xdr:rowOff>246529</xdr:rowOff>
    </xdr:from>
    <xdr:to>
      <xdr:col>19</xdr:col>
      <xdr:colOff>504265</xdr:colOff>
      <xdr:row>29</xdr:row>
      <xdr:rowOff>145675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C8BD80E-BD45-FDD6-08FC-77D98B82F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2338388</xdr:colOff>
      <xdr:row>29</xdr:row>
      <xdr:rowOff>88899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00F5573B-0862-2C26-B4C3-04E3D0931F8B}"/>
            </a:ext>
          </a:extLst>
        </xdr:cNvPr>
        <xdr:cNvGrpSpPr/>
      </xdr:nvGrpSpPr>
      <xdr:grpSpPr>
        <a:xfrm>
          <a:off x="0" y="0"/>
          <a:ext cx="2338388" cy="5613399"/>
          <a:chOff x="0" y="0"/>
          <a:chExt cx="2338388" cy="5613399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259A91DB-93EF-8B88-0C3E-E5DA91C3D0CC}"/>
              </a:ext>
            </a:extLst>
          </xdr:cNvPr>
          <xdr:cNvGrpSpPr/>
        </xdr:nvGrpSpPr>
        <xdr:grpSpPr>
          <a:xfrm>
            <a:off x="122976" y="2446421"/>
            <a:ext cx="2135606" cy="1734773"/>
            <a:chOff x="137441" y="2446421"/>
            <a:chExt cx="2135606" cy="1734773"/>
          </a:xfrm>
        </xdr:grpSpPr>
        <xdr:sp macro="" textlink="">
          <xdr:nvSpPr>
            <xdr:cNvPr id="25" name="Retângulo: Cantos Arredondados 24">
              <a:hlinkClick xmlns:r="http://schemas.openxmlformats.org/officeDocument/2006/relationships" r:id="rId1" tooltip="ir para aba Titular"/>
              <a:extLst>
                <a:ext uri="{FF2B5EF4-FFF2-40B4-BE49-F238E27FC236}">
                  <a16:creationId xmlns:a16="http://schemas.microsoft.com/office/drawing/2014/main" id="{0AE6B949-3DB5-9635-155E-BB602857EE17}"/>
                </a:ext>
              </a:extLst>
            </xdr:cNvPr>
            <xdr:cNvSpPr/>
          </xdr:nvSpPr>
          <xdr:spPr>
            <a:xfrm>
              <a:off x="137441" y="2446421"/>
              <a:ext cx="2135606" cy="511342"/>
            </a:xfrm>
            <a:prstGeom prst="roundRect">
              <a:avLst>
                <a:gd name="adj" fmla="val 50000"/>
              </a:avLst>
            </a:prstGeom>
            <a:solidFill>
              <a:schemeClr val="bg1">
                <a:lumMod val="65000"/>
              </a:schemeClr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>
                  <a:solidFill>
                    <a:schemeClr val="tx1"/>
                  </a:solidFill>
                  <a:latin typeface="Candara" panose="020E0502030303020204" pitchFamily="34" charset="0"/>
                </a:rPr>
                <a:t>Titular</a:t>
              </a:r>
            </a:p>
          </xdr:txBody>
        </xdr:sp>
        <xdr:sp macro="" textlink="">
          <xdr:nvSpPr>
            <xdr:cNvPr id="26" name="Retângulo: Cantos Arredondados 25">
              <a:hlinkClick xmlns:r="http://schemas.openxmlformats.org/officeDocument/2006/relationships" r:id="rId2" tooltip="ir para aba Informes"/>
              <a:extLst>
                <a:ext uri="{FF2B5EF4-FFF2-40B4-BE49-F238E27FC236}">
                  <a16:creationId xmlns:a16="http://schemas.microsoft.com/office/drawing/2014/main" id="{C57330C0-5085-F1C1-9AB8-4CF969CD6EDC}"/>
                </a:ext>
              </a:extLst>
            </xdr:cNvPr>
            <xdr:cNvSpPr/>
          </xdr:nvSpPr>
          <xdr:spPr>
            <a:xfrm>
              <a:off x="137441" y="3058136"/>
              <a:ext cx="2135606" cy="511342"/>
            </a:xfrm>
            <a:prstGeom prst="roundRect">
              <a:avLst>
                <a:gd name="adj" fmla="val 50000"/>
              </a:avLst>
            </a:prstGeom>
            <a:solidFill>
              <a:schemeClr val="bg2">
                <a:lumMod val="75000"/>
              </a:schemeClr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u="none">
                  <a:solidFill>
                    <a:schemeClr val="tx1"/>
                  </a:solidFill>
                  <a:latin typeface="Candara" panose="020E0502030303020204" pitchFamily="34" charset="0"/>
                </a:rPr>
                <a:t>Informes</a:t>
              </a:r>
            </a:p>
          </xdr:txBody>
        </xdr:sp>
        <xdr:sp macro="" textlink="">
          <xdr:nvSpPr>
            <xdr:cNvPr id="27" name="Retângulo: Cantos Arredondados 26">
              <a:hlinkClick xmlns:r="http://schemas.openxmlformats.org/officeDocument/2006/relationships" r:id="rId3" tooltip="aba atual"/>
              <a:extLst>
                <a:ext uri="{FF2B5EF4-FFF2-40B4-BE49-F238E27FC236}">
                  <a16:creationId xmlns:a16="http://schemas.microsoft.com/office/drawing/2014/main" id="{4281A1BE-14B5-DD5E-0F13-765B957C2D8E}"/>
                </a:ext>
              </a:extLst>
            </xdr:cNvPr>
            <xdr:cNvSpPr/>
          </xdr:nvSpPr>
          <xdr:spPr>
            <a:xfrm>
              <a:off x="137441" y="3669852"/>
              <a:ext cx="2135606" cy="511342"/>
            </a:xfrm>
            <a:prstGeom prst="roundRect">
              <a:avLst>
                <a:gd name="adj" fmla="val 50000"/>
              </a:avLst>
            </a:prstGeom>
            <a:solidFill>
              <a:schemeClr val="bg2">
                <a:lumMod val="75000"/>
              </a:schemeClr>
            </a:solidFill>
            <a:ln>
              <a:noFill/>
            </a:ln>
            <a:effectLst>
              <a:innerShdw blurRad="63500" dist="50800" dir="2700000">
                <a:prstClr val="black">
                  <a:alpha val="50000"/>
                </a:prstClr>
              </a:inn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800" u="none">
                  <a:solidFill>
                    <a:schemeClr val="tx1"/>
                  </a:solidFill>
                  <a:latin typeface="Candara" panose="020E0502030303020204" pitchFamily="34" charset="0"/>
                </a:rPr>
                <a:t>Notas</a:t>
              </a:r>
            </a:p>
          </xdr:txBody>
        </xdr:sp>
      </xdr:grp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EA5B6822-DDFE-253E-61CA-4E9F077B22BA}"/>
              </a:ext>
            </a:extLst>
          </xdr:cNvPr>
          <xdr:cNvSpPr/>
        </xdr:nvSpPr>
        <xdr:spPr>
          <a:xfrm>
            <a:off x="309717" y="4619623"/>
            <a:ext cx="1762125" cy="285750"/>
          </a:xfrm>
          <a:prstGeom prst="roundRect">
            <a:avLst>
              <a:gd name="adj" fmla="val 50000"/>
            </a:avLst>
          </a:prstGeom>
          <a:solidFill>
            <a:srgbClr val="00206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© 2025-2026 - </a:t>
            </a:r>
            <a:r>
              <a:rPr lang="pt-BR" sz="1100"/>
              <a:t>by  DIO/S!D</a:t>
            </a:r>
          </a:p>
        </xdr:txBody>
      </xdr:sp>
      <xdr:cxnSp macro="">
        <xdr:nvCxnSpPr>
          <xdr:cNvPr id="19" name="Conector reto 18">
            <a:extLst>
              <a:ext uri="{FF2B5EF4-FFF2-40B4-BE49-F238E27FC236}">
                <a16:creationId xmlns:a16="http://schemas.microsoft.com/office/drawing/2014/main" id="{0161DD47-AEB6-BB2C-82B3-D97ED84B6F11}"/>
              </a:ext>
            </a:extLst>
          </xdr:cNvPr>
          <xdr:cNvCxnSpPr/>
        </xdr:nvCxnSpPr>
        <xdr:spPr>
          <a:xfrm>
            <a:off x="208513" y="4400409"/>
            <a:ext cx="1964533" cy="0"/>
          </a:xfrm>
          <a:prstGeom prst="line">
            <a:avLst/>
          </a:prstGeom>
          <a:ln w="19050">
            <a:solidFill>
              <a:schemeClr val="bg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pic>
        <xdr:nvPicPr>
          <xdr:cNvPr id="20" name="icon_github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AD124C4B-5FBB-B8F4-11C0-9FEA2AAEF0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81000" y="5080000"/>
            <a:ext cx="533399" cy="533399"/>
          </a:xfrm>
          <a:prstGeom prst="rect">
            <a:avLst/>
          </a:prstGeom>
        </xdr:spPr>
      </xdr:pic>
      <xdr:pic>
        <xdr:nvPicPr>
          <xdr:cNvPr id="21" name="icon_linkedin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FF6DA08E-0B1C-C376-7A82-4C55299611A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24000" y="5080000"/>
            <a:ext cx="532800" cy="532800"/>
          </a:xfrm>
          <a:prstGeom prst="rect">
            <a:avLst/>
          </a:prstGeom>
        </xdr:spPr>
      </xdr:pic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BC5C3CAB-E32B-2FEA-C6D9-87A7A8079794}"/>
              </a:ext>
            </a:extLst>
          </xdr:cNvPr>
          <xdr:cNvGrpSpPr/>
        </xdr:nvGrpSpPr>
        <xdr:grpSpPr>
          <a:xfrm>
            <a:off x="0" y="0"/>
            <a:ext cx="2338388" cy="2115262"/>
            <a:chOff x="85725" y="66675"/>
            <a:chExt cx="2338388" cy="2096212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0D265B5C-2789-C982-23E5-703F2BD5C52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5725" y="66675"/>
              <a:ext cx="2209800" cy="2096212"/>
            </a:xfrm>
            <a:prstGeom prst="rect">
              <a:avLst/>
            </a:prstGeom>
            <a:ln w="25400">
              <a:solidFill>
                <a:schemeClr val="tx1">
                  <a:lumMod val="75000"/>
                  <a:lumOff val="25000"/>
                </a:schemeClr>
              </a:solidFill>
            </a:ln>
          </xdr:spPr>
        </xdr:pic>
        <xdr:sp macro="" textlink="">
          <xdr:nvSpPr>
            <xdr:cNvPr id="24" name="Retângulo 23">
              <a:extLst>
                <a:ext uri="{FF2B5EF4-FFF2-40B4-BE49-F238E27FC236}">
                  <a16:creationId xmlns:a16="http://schemas.microsoft.com/office/drawing/2014/main" id="{AE793913-723B-746A-8AF5-8938DBB53331}"/>
                </a:ext>
              </a:extLst>
            </xdr:cNvPr>
            <xdr:cNvSpPr/>
          </xdr:nvSpPr>
          <xdr:spPr>
            <a:xfrm>
              <a:off x="1362075" y="1988088"/>
              <a:ext cx="1062038" cy="14577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he-IL" sz="1400" b="1">
                  <a:solidFill>
                    <a:schemeClr val="accent1">
                      <a:lumMod val="60000"/>
                      <a:lumOff val="40000"/>
                    </a:schemeClr>
                  </a:solidFill>
                  <a:effectLst/>
                  <a:latin typeface="Algerian" panose="04020705040A02060702" pitchFamily="82" charset="0"/>
                  <a:ea typeface="+mn-ea"/>
                  <a:cs typeface="+mn-cs"/>
                </a:rPr>
                <a:t>אינפואריאל</a:t>
              </a:r>
              <a:r>
                <a:rPr lang="pt-BR" sz="1400" b="1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Algerian" panose="04020705040A02060702" pitchFamily="82" charset="0"/>
                </a:rPr>
                <a:t> </a:t>
              </a:r>
            </a:p>
          </xdr:txBody>
        </xdr:sp>
      </xdr:grpSp>
    </xdr:grpSp>
    <xdr:clientData/>
  </xdr:twoCellAnchor>
  <xdr:twoCellAnchor>
    <xdr:from>
      <xdr:col>0</xdr:col>
      <xdr:colOff>142875</xdr:colOff>
      <xdr:row>50</xdr:row>
      <xdr:rowOff>47625</xdr:rowOff>
    </xdr:from>
    <xdr:to>
      <xdr:col>0</xdr:col>
      <xdr:colOff>2278481</xdr:colOff>
      <xdr:row>52</xdr:row>
      <xdr:rowOff>56745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322BAC95-DE89-FB1F-7594-3F7E4D03926D}"/>
            </a:ext>
          </a:extLst>
        </xdr:cNvPr>
        <xdr:cNvGrpSpPr/>
      </xdr:nvGrpSpPr>
      <xdr:grpSpPr>
        <a:xfrm>
          <a:off x="142875" y="9572625"/>
          <a:ext cx="2135606" cy="517120"/>
          <a:chOff x="161925" y="9715500"/>
          <a:chExt cx="2135606" cy="513945"/>
        </a:xfrm>
      </xdr:grpSpPr>
      <xdr:sp macro="" textlink="">
        <xdr:nvSpPr>
          <xdr:cNvPr id="11" name="Retângulo: Cantos Arredondados 10">
            <a:hlinkClick xmlns:r="http://schemas.openxmlformats.org/officeDocument/2006/relationships" r:id="rId9" tooltip="aba atual"/>
            <a:extLst>
              <a:ext uri="{FF2B5EF4-FFF2-40B4-BE49-F238E27FC236}">
                <a16:creationId xmlns:a16="http://schemas.microsoft.com/office/drawing/2014/main" id="{2FEF17D4-E87F-881F-C6B1-B9D1F44A0F62}"/>
              </a:ext>
            </a:extLst>
          </xdr:cNvPr>
          <xdr:cNvSpPr/>
        </xdr:nvSpPr>
        <xdr:spPr>
          <a:xfrm>
            <a:off x="161925" y="9715500"/>
            <a:ext cx="2135606" cy="513945"/>
          </a:xfrm>
          <a:prstGeom prst="roundRect">
            <a:avLst>
              <a:gd name="adj" fmla="val 50000"/>
            </a:avLst>
          </a:prstGeom>
          <a:solidFill>
            <a:srgbClr val="FFFF00"/>
          </a:solidFill>
          <a:ln w="19050" cap="flat" cmpd="sng" algn="ctr">
            <a:noFill/>
            <a:prstDash val="solid"/>
            <a:miter lim="800000"/>
          </a:ln>
          <a:effectLst>
            <a:innerShdw blurRad="63500" dist="50800" dir="2700000">
              <a:prstClr val="black">
                <a:alpha val="50000"/>
              </a:prstClr>
            </a:innerShdw>
          </a:effectLst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ndara" panose="020E0502030303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2" name="Seta: para Cima 11">
            <a:hlinkClick xmlns:r="http://schemas.openxmlformats.org/officeDocument/2006/relationships" r:id="rId10" tooltip="Começo da página"/>
            <a:extLst>
              <a:ext uri="{FF2B5EF4-FFF2-40B4-BE49-F238E27FC236}">
                <a16:creationId xmlns:a16="http://schemas.microsoft.com/office/drawing/2014/main" id="{2D779D3F-AEA4-CBA4-3F37-4043BF136BD4}"/>
              </a:ext>
            </a:extLst>
          </xdr:cNvPr>
          <xdr:cNvSpPr/>
        </xdr:nvSpPr>
        <xdr:spPr>
          <a:xfrm>
            <a:off x="1133474" y="9810750"/>
            <a:ext cx="200025" cy="276225"/>
          </a:xfrm>
          <a:prstGeom prst="upArrow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2</xdr:col>
      <xdr:colOff>28575</xdr:colOff>
      <xdr:row>51</xdr:row>
      <xdr:rowOff>19050</xdr:rowOff>
    </xdr:from>
    <xdr:to>
      <xdr:col>4</xdr:col>
      <xdr:colOff>329176</xdr:colOff>
      <xdr:row>51</xdr:row>
      <xdr:rowOff>281850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18DB53E2-D9DD-8279-D4AC-D2A41BF0E14B}"/>
            </a:ext>
          </a:extLst>
        </xdr:cNvPr>
        <xdr:cNvGrpSpPr/>
      </xdr:nvGrpSpPr>
      <xdr:grpSpPr>
        <a:xfrm>
          <a:off x="2616200" y="9734550"/>
          <a:ext cx="1586476" cy="262800"/>
          <a:chOff x="2628900" y="9734550"/>
          <a:chExt cx="1596001" cy="262800"/>
        </a:xfrm>
      </xdr:grpSpPr>
      <xdr:sp macro="" textlink="">
        <xdr:nvSpPr>
          <xdr:cNvPr id="30" name="Retângulo 29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8FC745ED-93D2-7AFA-0C14-DAE175BF8CF1}"/>
              </a:ext>
            </a:extLst>
          </xdr:cNvPr>
          <xdr:cNvSpPr/>
        </xdr:nvSpPr>
        <xdr:spPr>
          <a:xfrm>
            <a:off x="3432901" y="9737627"/>
            <a:ext cx="792000" cy="2592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Próximo →</a:t>
            </a:r>
          </a:p>
        </xdr:txBody>
      </xdr:sp>
      <xdr:sp macro="" textlink="">
        <xdr:nvSpPr>
          <xdr:cNvPr id="32" name="Retângulo 31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65A53683-B66C-E39A-A6E2-20A0CDF6F06C}"/>
              </a:ext>
            </a:extLst>
          </xdr:cNvPr>
          <xdr:cNvSpPr/>
        </xdr:nvSpPr>
        <xdr:spPr>
          <a:xfrm>
            <a:off x="2628900" y="9734550"/>
            <a:ext cx="792000" cy="2628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>
                <a:effectLst/>
                <a:latin typeface="+mn-lt"/>
                <a:ea typeface="+mn-ea"/>
                <a:cs typeface="+mn-cs"/>
              </a:rPr>
              <a:t>← </a:t>
            </a: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Anterior</a:t>
            </a:r>
          </a:p>
        </xdr:txBody>
      </xdr:sp>
    </xdr:grpSp>
    <xdr:clientData/>
  </xdr:twoCellAnchor>
  <xdr:twoCellAnchor>
    <xdr:from>
      <xdr:col>0</xdr:col>
      <xdr:colOff>419100</xdr:colOff>
      <xdr:row>33</xdr:row>
      <xdr:rowOff>123825</xdr:rowOff>
    </xdr:from>
    <xdr:to>
      <xdr:col>0</xdr:col>
      <xdr:colOff>2015101</xdr:colOff>
      <xdr:row>35</xdr:row>
      <xdr:rowOff>5625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52163566-FC74-4FD8-BD65-0A20FDFE4805}"/>
            </a:ext>
          </a:extLst>
        </xdr:cNvPr>
        <xdr:cNvGrpSpPr/>
      </xdr:nvGrpSpPr>
      <xdr:grpSpPr>
        <a:xfrm>
          <a:off x="419100" y="6410325"/>
          <a:ext cx="1596001" cy="262800"/>
          <a:chOff x="2628900" y="9734550"/>
          <a:chExt cx="1596001" cy="262800"/>
        </a:xfrm>
      </xdr:grpSpPr>
      <xdr:sp macro="" textlink="">
        <xdr:nvSpPr>
          <xdr:cNvPr id="39" name="Retângulo 38">
            <a:hlinkClick xmlns:r="http://schemas.openxmlformats.org/officeDocument/2006/relationships" r:id="rId11"/>
            <a:extLst>
              <a:ext uri="{FF2B5EF4-FFF2-40B4-BE49-F238E27FC236}">
                <a16:creationId xmlns:a16="http://schemas.microsoft.com/office/drawing/2014/main" id="{D64EBBFA-1159-1752-3214-A22D7B780565}"/>
              </a:ext>
            </a:extLst>
          </xdr:cNvPr>
          <xdr:cNvSpPr/>
        </xdr:nvSpPr>
        <xdr:spPr>
          <a:xfrm>
            <a:off x="3432901" y="9737627"/>
            <a:ext cx="792000" cy="2592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Próximo →</a:t>
            </a:r>
          </a:p>
        </xdr:txBody>
      </xdr:sp>
      <xdr:sp macro="" textlink="">
        <xdr:nvSpPr>
          <xdr:cNvPr id="40" name="Retângulo 39">
            <a:hlinkClick xmlns:r="http://schemas.openxmlformats.org/officeDocument/2006/relationships" r:id="rId12"/>
            <a:extLst>
              <a:ext uri="{FF2B5EF4-FFF2-40B4-BE49-F238E27FC236}">
                <a16:creationId xmlns:a16="http://schemas.microsoft.com/office/drawing/2014/main" id="{2D13116F-ED7A-DA9A-46ED-C0F20224D159}"/>
              </a:ext>
            </a:extLst>
          </xdr:cNvPr>
          <xdr:cNvSpPr/>
        </xdr:nvSpPr>
        <xdr:spPr>
          <a:xfrm>
            <a:off x="2628900" y="9734550"/>
            <a:ext cx="792000" cy="2628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>
                <a:effectLst/>
                <a:latin typeface="+mn-lt"/>
                <a:ea typeface="+mn-ea"/>
                <a:cs typeface="+mn-cs"/>
              </a:rPr>
              <a:t>← </a:t>
            </a: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Anterior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3619499</xdr:colOff>
      <xdr:row>9</xdr:row>
      <xdr:rowOff>8659</xdr:rowOff>
    </xdr:from>
    <xdr:to>
      <xdr:col>2</xdr:col>
      <xdr:colOff>5862204</xdr:colOff>
      <xdr:row>19</xdr:row>
      <xdr:rowOff>132331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58350912-208E-63E8-2520-D98224F55398}"/>
            </a:ext>
          </a:extLst>
        </xdr:cNvPr>
        <xdr:cNvGrpSpPr/>
      </xdr:nvGrpSpPr>
      <xdr:grpSpPr>
        <a:xfrm>
          <a:off x="6219824" y="1723159"/>
          <a:ext cx="2242705" cy="2028672"/>
          <a:chOff x="5376578" y="1974749"/>
          <a:chExt cx="2432174" cy="2115262"/>
        </a:xfrm>
      </xdr:grpSpPr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AEB1DDAC-E098-4380-AA3A-89906E30F9E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376578" y="1974749"/>
            <a:ext cx="2209800" cy="2115262"/>
          </a:xfrm>
          <a:prstGeom prst="rect">
            <a:avLst/>
          </a:prstGeom>
          <a:ln w="25400">
            <a:solidFill>
              <a:schemeClr val="tx1">
                <a:lumMod val="75000"/>
                <a:lumOff val="25000"/>
              </a:schemeClr>
            </a:solidFill>
          </a:ln>
        </xdr:spPr>
      </xdr:pic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D0D54479-334A-44B1-B310-7C00DE977245}"/>
              </a:ext>
            </a:extLst>
          </xdr:cNvPr>
          <xdr:cNvSpPr/>
        </xdr:nvSpPr>
        <xdr:spPr>
          <a:xfrm>
            <a:off x="6673978" y="3836083"/>
            <a:ext cx="1134774" cy="20695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400" b="1">
                <a:solidFill>
                  <a:schemeClr val="accent1">
                    <a:lumMod val="60000"/>
                    <a:lumOff val="40000"/>
                  </a:schemeClr>
                </a:solidFill>
                <a:latin typeface="Aldhabi" panose="020F0502020204030204" pitchFamily="2" charset="-78"/>
                <a:cs typeface="Aldhabi" panose="020F0502020204030204" pitchFamily="2" charset="-78"/>
              </a:rPr>
              <a:t> </a:t>
            </a:r>
          </a:p>
        </xdr:txBody>
      </xdr:sp>
    </xdr:grpSp>
    <xdr:clientData/>
  </xdr:twoCellAnchor>
  <xdr:twoCellAnchor>
    <xdr:from>
      <xdr:col>2</xdr:col>
      <xdr:colOff>3844633</xdr:colOff>
      <xdr:row>21</xdr:row>
      <xdr:rowOff>140279</xdr:rowOff>
    </xdr:from>
    <xdr:to>
      <xdr:col>2</xdr:col>
      <xdr:colOff>5440634</xdr:colOff>
      <xdr:row>23</xdr:row>
      <xdr:rowOff>22079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1DA38638-77BE-439F-BFF2-E709605BDAEA}"/>
            </a:ext>
          </a:extLst>
        </xdr:cNvPr>
        <xdr:cNvGrpSpPr/>
      </xdr:nvGrpSpPr>
      <xdr:grpSpPr>
        <a:xfrm>
          <a:off x="6444958" y="4140779"/>
          <a:ext cx="1596001" cy="262800"/>
          <a:chOff x="2628900" y="9734550"/>
          <a:chExt cx="1596001" cy="262800"/>
        </a:xfrm>
      </xdr:grpSpPr>
      <xdr:sp macro="" textlink="">
        <xdr:nvSpPr>
          <xdr:cNvPr id="18" name="Retângulo 17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A09625FF-EAE3-0B42-ABDD-8A63DD84A9B3}"/>
              </a:ext>
            </a:extLst>
          </xdr:cNvPr>
          <xdr:cNvSpPr/>
        </xdr:nvSpPr>
        <xdr:spPr>
          <a:xfrm>
            <a:off x="3432901" y="9737627"/>
            <a:ext cx="792000" cy="2592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Início →</a:t>
            </a:r>
          </a:p>
        </xdr:txBody>
      </xdr:sp>
      <xdr:sp macro="" textlink="">
        <xdr:nvSpPr>
          <xdr:cNvPr id="19" name="Retângulo 18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F85F9F4-A4D8-E6AB-A331-849C75A7FDBB}"/>
              </a:ext>
            </a:extLst>
          </xdr:cNvPr>
          <xdr:cNvSpPr/>
        </xdr:nvSpPr>
        <xdr:spPr>
          <a:xfrm>
            <a:off x="2628900" y="9734550"/>
            <a:ext cx="792000" cy="262800"/>
          </a:xfrm>
          <a:prstGeom prst="rect">
            <a:avLst/>
          </a:prstGeom>
          <a:gradFill rotWithShape="1">
            <a:gsLst>
              <a:gs pos="0">
                <a:srgbClr val="A02B93">
                  <a:lumMod val="110000"/>
                  <a:satMod val="105000"/>
                  <a:tint val="67000"/>
                </a:srgbClr>
              </a:gs>
              <a:gs pos="50000">
                <a:srgbClr val="A02B93">
                  <a:lumMod val="105000"/>
                  <a:satMod val="103000"/>
                  <a:tint val="73000"/>
                </a:srgbClr>
              </a:gs>
              <a:gs pos="100000">
                <a:srgbClr val="A02B93">
                  <a:lumMod val="105000"/>
                  <a:satMod val="109000"/>
                  <a:tint val="81000"/>
                </a:srgbClr>
              </a:gs>
            </a:gsLst>
            <a:lin ang="5400000" scaled="0"/>
          </a:gradFill>
          <a:ln w="12700" cap="flat" cmpd="sng" algn="ctr">
            <a:solidFill>
              <a:srgbClr val="A02B93"/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100" b="0" i="0" u="none" strike="noStrike">
                <a:effectLst/>
                <a:latin typeface="+mn-lt"/>
                <a:ea typeface="+mn-ea"/>
                <a:cs typeface="+mn-cs"/>
              </a:rPr>
              <a:t>← </a:t>
            </a: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Anterior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2338388</xdr:colOff>
      <xdr:row>30</xdr:row>
      <xdr:rowOff>19050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0C6A8F26-F66E-59DD-3365-08AA0A5998C2}"/>
            </a:ext>
          </a:extLst>
        </xdr:cNvPr>
        <xdr:cNvGrpSpPr/>
      </xdr:nvGrpSpPr>
      <xdr:grpSpPr>
        <a:xfrm>
          <a:off x="0" y="0"/>
          <a:ext cx="2338388" cy="5734050"/>
          <a:chOff x="0" y="0"/>
          <a:chExt cx="2338388" cy="5734050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99F1682-B9C9-BF2B-9AF0-592C90134BB9}"/>
              </a:ext>
            </a:extLst>
          </xdr:cNvPr>
          <xdr:cNvGrpSpPr/>
        </xdr:nvGrpSpPr>
        <xdr:grpSpPr>
          <a:xfrm>
            <a:off x="0" y="0"/>
            <a:ext cx="2338388" cy="2115262"/>
            <a:chOff x="85725" y="66675"/>
            <a:chExt cx="2338388" cy="2096212"/>
          </a:xfrm>
        </xdr:grpSpPr>
        <xdr:pic>
          <xdr:nvPicPr>
            <xdr:cNvPr id="9" name="Imagem 8">
              <a:extLst>
                <a:ext uri="{FF2B5EF4-FFF2-40B4-BE49-F238E27FC236}">
                  <a16:creationId xmlns:a16="http://schemas.microsoft.com/office/drawing/2014/main" id="{4F3B7D88-EBF0-56A3-0C45-4E2CD29DB8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5725" y="66675"/>
              <a:ext cx="2209800" cy="2096212"/>
            </a:xfrm>
            <a:prstGeom prst="rect">
              <a:avLst/>
            </a:prstGeom>
            <a:ln w="25400">
              <a:solidFill>
                <a:schemeClr val="tx1">
                  <a:lumMod val="75000"/>
                  <a:lumOff val="25000"/>
                </a:schemeClr>
              </a:solidFill>
            </a:ln>
          </xdr:spPr>
        </xdr:pic>
        <xdr:sp macro="" textlink="">
          <xdr:nvSpPr>
            <xdr:cNvPr id="10" name="Retângulo 9">
              <a:extLst>
                <a:ext uri="{FF2B5EF4-FFF2-40B4-BE49-F238E27FC236}">
                  <a16:creationId xmlns:a16="http://schemas.microsoft.com/office/drawing/2014/main" id="{F4171E26-7642-525D-CDC4-364D2A459E7E}"/>
                </a:ext>
              </a:extLst>
            </xdr:cNvPr>
            <xdr:cNvSpPr/>
          </xdr:nvSpPr>
          <xdr:spPr>
            <a:xfrm>
              <a:off x="1362075" y="1988088"/>
              <a:ext cx="1062038" cy="14577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he-IL" sz="1400" b="1">
                  <a:solidFill>
                    <a:schemeClr val="accent1">
                      <a:lumMod val="60000"/>
                      <a:lumOff val="40000"/>
                    </a:schemeClr>
                  </a:solidFill>
                  <a:effectLst/>
                  <a:latin typeface="Algerian" panose="04020705040A02060702" pitchFamily="82" charset="0"/>
                  <a:ea typeface="+mn-ea"/>
                  <a:cs typeface="+mn-cs"/>
                </a:rPr>
                <a:t>אינפואריאל</a:t>
              </a:r>
              <a:r>
                <a:rPr lang="pt-BR" sz="1400" b="1">
                  <a:solidFill>
                    <a:schemeClr val="accent1">
                      <a:lumMod val="60000"/>
                      <a:lumOff val="40000"/>
                    </a:schemeClr>
                  </a:solidFill>
                  <a:latin typeface="Algerian" panose="04020705040A02060702" pitchFamily="82" charset="0"/>
                </a:rPr>
                <a:t> </a:t>
              </a: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8D7F3BF1-33CF-3FE4-755A-EFECDC66C1E4}"/>
              </a:ext>
            </a:extLst>
          </xdr:cNvPr>
          <xdr:cNvGrpSpPr/>
        </xdr:nvGrpSpPr>
        <xdr:grpSpPr>
          <a:xfrm>
            <a:off x="122976" y="2446421"/>
            <a:ext cx="2135606" cy="3287629"/>
            <a:chOff x="122976" y="2446421"/>
            <a:chExt cx="2135606" cy="3287629"/>
          </a:xfrm>
        </xdr:grpSpPr>
        <xdr:grpSp>
          <xdr:nvGrpSpPr>
            <xdr:cNvPr id="3" name="Agrupar 2">
              <a:extLst>
                <a:ext uri="{FF2B5EF4-FFF2-40B4-BE49-F238E27FC236}">
                  <a16:creationId xmlns:a16="http://schemas.microsoft.com/office/drawing/2014/main" id="{515343CA-DB33-1C95-54F1-A04E935397D5}"/>
                </a:ext>
              </a:extLst>
            </xdr:cNvPr>
            <xdr:cNvGrpSpPr/>
          </xdr:nvGrpSpPr>
          <xdr:grpSpPr>
            <a:xfrm>
              <a:off x="122976" y="2446421"/>
              <a:ext cx="2135606" cy="1734773"/>
              <a:chOff x="137441" y="2446421"/>
              <a:chExt cx="2135606" cy="1734773"/>
            </a:xfrm>
          </xdr:grpSpPr>
          <xdr:sp macro="" textlink="">
            <xdr:nvSpPr>
              <xdr:cNvPr id="11" name="Retângulo: Cantos Arredondados 10">
                <a:hlinkClick xmlns:r="http://schemas.openxmlformats.org/officeDocument/2006/relationships" r:id="rId4" tooltip="ir para aba Titular"/>
                <a:extLst>
                  <a:ext uri="{FF2B5EF4-FFF2-40B4-BE49-F238E27FC236}">
                    <a16:creationId xmlns:a16="http://schemas.microsoft.com/office/drawing/2014/main" id="{F98B327F-BFF6-02B6-484D-9359B5227D2C}"/>
                  </a:ext>
                </a:extLst>
              </xdr:cNvPr>
              <xdr:cNvSpPr/>
            </xdr:nvSpPr>
            <xdr:spPr>
              <a:xfrm>
                <a:off x="137441" y="2446421"/>
                <a:ext cx="2135606" cy="511342"/>
              </a:xfrm>
              <a:prstGeom prst="roundRect">
                <a:avLst>
                  <a:gd name="adj" fmla="val 50000"/>
                </a:avLst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>
                    <a:solidFill>
                      <a:schemeClr val="tx1"/>
                    </a:solidFill>
                    <a:latin typeface="Candara" panose="020E0502030303020204" pitchFamily="34" charset="0"/>
                  </a:rPr>
                  <a:t>Titular</a:t>
                </a:r>
              </a:p>
            </xdr:txBody>
          </xdr:sp>
          <xdr:sp macro="" textlink="">
            <xdr:nvSpPr>
              <xdr:cNvPr id="12" name="Retângulo: Cantos Arredondados 11">
                <a:hlinkClick xmlns:r="http://schemas.openxmlformats.org/officeDocument/2006/relationships" r:id="rId5" tooltip="ir para aba Informes"/>
                <a:extLst>
                  <a:ext uri="{FF2B5EF4-FFF2-40B4-BE49-F238E27FC236}">
                    <a16:creationId xmlns:a16="http://schemas.microsoft.com/office/drawing/2014/main" id="{0BB91026-F055-42F5-0C0F-5B610B453EC0}"/>
                  </a:ext>
                </a:extLst>
              </xdr:cNvPr>
              <xdr:cNvSpPr/>
            </xdr:nvSpPr>
            <xdr:spPr>
              <a:xfrm>
                <a:off x="137441" y="3058136"/>
                <a:ext cx="2135606" cy="511342"/>
              </a:xfrm>
              <a:prstGeom prst="roundRect">
                <a:avLst>
                  <a:gd name="adj" fmla="val 50000"/>
                </a:avLst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 u="none">
                    <a:solidFill>
                      <a:schemeClr val="tx1"/>
                    </a:solidFill>
                    <a:latin typeface="Candara" panose="020E0502030303020204" pitchFamily="34" charset="0"/>
                  </a:rPr>
                  <a:t>Informes</a:t>
                </a:r>
              </a:p>
            </xdr:txBody>
          </xdr:sp>
          <xdr:sp macro="" textlink="">
            <xdr:nvSpPr>
              <xdr:cNvPr id="13" name="Retângulo: Cantos Arredondados 12">
                <a:hlinkClick xmlns:r="http://schemas.openxmlformats.org/officeDocument/2006/relationships" r:id="rId6" tooltip="Ir para aba NOTAS"/>
                <a:extLst>
                  <a:ext uri="{FF2B5EF4-FFF2-40B4-BE49-F238E27FC236}">
                    <a16:creationId xmlns:a16="http://schemas.microsoft.com/office/drawing/2014/main" id="{49DF0F0E-82F5-77EC-9EFF-624E0A27B2EE}"/>
                  </a:ext>
                </a:extLst>
              </xdr:cNvPr>
              <xdr:cNvSpPr/>
            </xdr:nvSpPr>
            <xdr:spPr>
              <a:xfrm>
                <a:off x="137441" y="3669852"/>
                <a:ext cx="2135606" cy="511342"/>
              </a:xfrm>
              <a:prstGeom prst="roundRect">
                <a:avLst>
                  <a:gd name="adj" fmla="val 50000"/>
                </a:avLst>
              </a:prstGeom>
              <a:solidFill>
                <a:schemeClr val="bg1">
                  <a:lumMod val="65000"/>
                </a:schemeClr>
              </a:solidFill>
              <a:ln>
                <a:noFill/>
              </a:ln>
              <a:effectLst>
                <a:innerShdw blurRad="63500" dist="50800" dir="2700000">
                  <a:prstClr val="black">
                    <a:alpha val="50000"/>
                  </a:prstClr>
                </a:innerShdw>
              </a:effectLst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800" u="none">
                    <a:solidFill>
                      <a:schemeClr val="tx1"/>
                    </a:solidFill>
                    <a:latin typeface="Candara" panose="020E0502030303020204" pitchFamily="34" charset="0"/>
                  </a:rPr>
                  <a:t>Notas</a:t>
                </a:r>
              </a:p>
            </xdr:txBody>
          </xdr:sp>
        </xdr:grpSp>
        <xdr:sp macro="" textlink="">
          <xdr:nvSpPr>
            <xdr:cNvPr id="4" name="Retângulo: Cantos Arredondados 3">
              <a:extLst>
                <a:ext uri="{FF2B5EF4-FFF2-40B4-BE49-F238E27FC236}">
                  <a16:creationId xmlns:a16="http://schemas.microsoft.com/office/drawing/2014/main" id="{34FBE781-0A9C-3EFA-82E4-1B65218C39C9}"/>
                </a:ext>
              </a:extLst>
            </xdr:cNvPr>
            <xdr:cNvSpPr/>
          </xdr:nvSpPr>
          <xdr:spPr>
            <a:xfrm>
              <a:off x="309717" y="4619623"/>
              <a:ext cx="1762125" cy="285750"/>
            </a:xfrm>
            <a:prstGeom prst="roundRect">
              <a:avLst>
                <a:gd name="adj" fmla="val 50000"/>
              </a:avLst>
            </a:prstGeom>
            <a:solidFill>
              <a:srgbClr val="00206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© 2025-2026 - </a:t>
              </a:r>
              <a:r>
                <a:rPr lang="pt-BR" sz="1100"/>
                <a:t>by  DIO/S!D</a:t>
              </a:r>
            </a:p>
          </xdr:txBody>
        </xdr:sp>
        <xdr:cxnSp macro="">
          <xdr:nvCxnSpPr>
            <xdr:cNvPr id="5" name="Conector reto 4">
              <a:extLst>
                <a:ext uri="{FF2B5EF4-FFF2-40B4-BE49-F238E27FC236}">
                  <a16:creationId xmlns:a16="http://schemas.microsoft.com/office/drawing/2014/main" id="{466ACFDD-4635-4E8C-D63B-ADDA45087A65}"/>
                </a:ext>
              </a:extLst>
            </xdr:cNvPr>
            <xdr:cNvCxnSpPr/>
          </xdr:nvCxnSpPr>
          <xdr:spPr>
            <a:xfrm>
              <a:off x="208513" y="4400409"/>
              <a:ext cx="1964533" cy="0"/>
            </a:xfrm>
            <a:prstGeom prst="line">
              <a:avLst/>
            </a:prstGeom>
            <a:ln w="19050">
              <a:solidFill>
                <a:schemeClr val="bg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21" name="Agrupar 20">
              <a:extLst>
                <a:ext uri="{FF2B5EF4-FFF2-40B4-BE49-F238E27FC236}">
                  <a16:creationId xmlns:a16="http://schemas.microsoft.com/office/drawing/2014/main" id="{714A3F4D-8CA5-5152-416F-2B8A8BFC9E8C}"/>
                </a:ext>
              </a:extLst>
            </xdr:cNvPr>
            <xdr:cNvGrpSpPr/>
          </xdr:nvGrpSpPr>
          <xdr:grpSpPr>
            <a:xfrm>
              <a:off x="219075" y="5080000"/>
              <a:ext cx="1964533" cy="654050"/>
              <a:chOff x="219075" y="5080000"/>
              <a:chExt cx="1964533" cy="654050"/>
            </a:xfrm>
          </xdr:grpSpPr>
          <xdr:pic>
            <xdr:nvPicPr>
              <xdr:cNvPr id="6" name="icon_github">
                <a:hlinkClick xmlns:r="http://schemas.openxmlformats.org/officeDocument/2006/relationships" r:id="rId7"/>
                <a:extLst>
                  <a:ext uri="{FF2B5EF4-FFF2-40B4-BE49-F238E27FC236}">
                    <a16:creationId xmlns:a16="http://schemas.microsoft.com/office/drawing/2014/main" id="{208F031B-80A7-7A07-6398-8AFA6F505B3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81000" y="5080000"/>
                <a:ext cx="533399" cy="533399"/>
              </a:xfrm>
              <a:prstGeom prst="rect">
                <a:avLst/>
              </a:prstGeom>
            </xdr:spPr>
          </xdr:pic>
          <xdr:pic>
            <xdr:nvPicPr>
              <xdr:cNvPr id="7" name="icon_linkedin">
                <a:hlinkClick xmlns:r="http://schemas.openxmlformats.org/officeDocument/2006/relationships" r:id="rId9"/>
                <a:extLst>
                  <a:ext uri="{FF2B5EF4-FFF2-40B4-BE49-F238E27FC236}">
                    <a16:creationId xmlns:a16="http://schemas.microsoft.com/office/drawing/2014/main" id="{484FDC31-53A8-A5FA-A392-873F4CA2471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1524000" y="5080000"/>
                <a:ext cx="532800" cy="532800"/>
              </a:xfrm>
              <a:prstGeom prst="rect">
                <a:avLst/>
              </a:prstGeom>
            </xdr:spPr>
          </xdr:pic>
          <xdr:cxnSp macro="">
            <xdr:nvCxnSpPr>
              <xdr:cNvPr id="20" name="Conector reto 19">
                <a:extLst>
                  <a:ext uri="{FF2B5EF4-FFF2-40B4-BE49-F238E27FC236}">
                    <a16:creationId xmlns:a16="http://schemas.microsoft.com/office/drawing/2014/main" id="{281FB543-C6A4-4DD1-96B3-321F7E810F0A}"/>
                  </a:ext>
                </a:extLst>
              </xdr:cNvPr>
              <xdr:cNvCxnSpPr/>
            </xdr:nvCxnSpPr>
            <xdr:spPr>
              <a:xfrm>
                <a:off x="219075" y="5734050"/>
                <a:ext cx="1964533" cy="0"/>
              </a:xfrm>
              <a:prstGeom prst="line">
                <a:avLst/>
              </a:prstGeom>
              <a:ln w="19050">
                <a:solidFill>
                  <a:schemeClr val="bg1"/>
                </a:solidFill>
              </a:ln>
            </xdr:spPr>
            <xdr:style>
              <a:lnRef idx="2">
                <a:schemeClr val="accent1"/>
              </a:lnRef>
              <a:fillRef idx="0">
                <a:schemeClr val="accent1"/>
              </a:fillRef>
              <a:effectRef idx="1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02E0F1-A184-4BF8-9254-26706B920129}" name="Tabela2" displayName="Tabela2" ref="C8:E30" totalsRowShown="0" headerRowDxfId="5" dataDxfId="4" tableBorderDxfId="3">
  <autoFilter ref="C8:E30" xr:uid="{7302E0F1-A184-4BF8-9254-26706B920129}"/>
  <tableColumns count="3">
    <tableColumn id="1" xr3:uid="{35F9C522-EB1C-46E2-B59C-B9D238756E48}" name="Data" dataDxfId="2"/>
    <tableColumn id="2" xr3:uid="{001B136C-B540-46CC-9E39-35F05C5DE446}" name="Categoria" dataDxfId="1"/>
    <tableColumn id="3" xr3:uid="{E9F25FD3-4F20-4E6F-A5E6-E6ACFAB383F8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denis@gmx.com?subject=(Urgente)%20Precisamos%20conversar%20sobre%20sua%20declara&#231;&#227;o%20do%20Imposto%20de%20Renda." TargetMode="External"/><Relationship Id="rId1" Type="http://schemas.openxmlformats.org/officeDocument/2006/relationships/hyperlink" Target="mailto:denis@gmx.com?subject=(Urgente!)%20Precisamos%20conversar%20sobre%20sua%20declara&#231;&#227;o%20do%20Imposto%20de%20Rend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E5B2-8721-4E95-B6A7-343A5627DCB2}">
  <sheetPr codeName="Planilha1">
    <tabColor theme="8" tint="-0.499984740745262"/>
  </sheetPr>
  <dimension ref="A1:Z24"/>
  <sheetViews>
    <sheetView showGridLines="0" showRowColHeaders="0" zoomScaleNormal="100" workbookViewId="0">
      <selection activeCell="D14" sqref="D1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75" x14ac:dyDescent="0.25"/>
  <cols>
    <col min="1" max="1" width="36.28515625" style="1" customWidth="1"/>
    <col min="2" max="2" width="2.7109375" style="26" customWidth="1"/>
    <col min="3" max="3" width="63.7109375" style="4" bestFit="1" customWidth="1"/>
    <col min="4" max="4" width="42.140625" style="4" bestFit="1" customWidth="1"/>
    <col min="5" max="5" width="2" style="4" bestFit="1" customWidth="1"/>
    <col min="6" max="26" width="6.42578125" style="4" customWidth="1"/>
  </cols>
  <sheetData>
    <row r="1" spans="1:7" x14ac:dyDescent="0.25">
      <c r="A1" s="2" t="s">
        <v>0</v>
      </c>
    </row>
    <row r="2" spans="1:7" ht="20.25" x14ac:dyDescent="0.25">
      <c r="A2" s="1" t="s">
        <v>19</v>
      </c>
      <c r="C2" s="36" t="str">
        <f>D7</f>
        <v>DENIS DOMASCHK ODEBRECHT STEIN</v>
      </c>
      <c r="D2" s="13"/>
    </row>
    <row r="4" spans="1:7" ht="16.5" thickBot="1" x14ac:dyDescent="0.3">
      <c r="C4" s="10" t="s">
        <v>20</v>
      </c>
      <c r="D4" s="11"/>
    </row>
    <row r="5" spans="1:7" ht="16.5" customHeight="1" thickTop="1" x14ac:dyDescent="0.25">
      <c r="C5" s="13" t="s">
        <v>21</v>
      </c>
      <c r="D5" s="12"/>
    </row>
    <row r="6" spans="1:7" ht="7.5" customHeight="1" x14ac:dyDescent="0.25"/>
    <row r="7" spans="1:7" x14ac:dyDescent="0.25">
      <c r="C7" s="6" t="s">
        <v>1</v>
      </c>
      <c r="D7" s="39" t="s">
        <v>111</v>
      </c>
    </row>
    <row r="8" spans="1:7" x14ac:dyDescent="0.25">
      <c r="C8" s="6" t="s">
        <v>2</v>
      </c>
      <c r="D8" s="40">
        <v>98765432171</v>
      </c>
      <c r="E8" s="4" t="s">
        <v>19</v>
      </c>
    </row>
    <row r="9" spans="1:7" x14ac:dyDescent="0.25">
      <c r="C9" s="6" t="s">
        <v>5</v>
      </c>
      <c r="D9" s="41">
        <v>28312</v>
      </c>
    </row>
    <row r="10" spans="1:7" x14ac:dyDescent="0.25">
      <c r="C10" s="6" t="s">
        <v>13</v>
      </c>
      <c r="D10" s="39" t="s">
        <v>24</v>
      </c>
    </row>
    <row r="11" spans="1:7" x14ac:dyDescent="0.25">
      <c r="C11" s="6" t="s">
        <v>4</v>
      </c>
      <c r="D11" s="39">
        <v>4488718844</v>
      </c>
    </row>
    <row r="12" spans="1:7" x14ac:dyDescent="0.25">
      <c r="C12" s="6" t="s">
        <v>3</v>
      </c>
      <c r="D12" s="39" t="s">
        <v>32</v>
      </c>
    </row>
    <row r="13" spans="1:7" x14ac:dyDescent="0.25">
      <c r="C13" s="6" t="s">
        <v>6</v>
      </c>
      <c r="D13" s="39" t="s">
        <v>110</v>
      </c>
    </row>
    <row r="14" spans="1:7" x14ac:dyDescent="0.25">
      <c r="C14" s="6" t="s">
        <v>7</v>
      </c>
      <c r="D14" s="42" t="s">
        <v>29</v>
      </c>
      <c r="E14" s="4" t="s">
        <v>19</v>
      </c>
    </row>
    <row r="15" spans="1:7" x14ac:dyDescent="0.25">
      <c r="C15" s="6" t="s">
        <v>8</v>
      </c>
      <c r="D15" s="39" t="s">
        <v>24</v>
      </c>
    </row>
    <row r="16" spans="1:7" x14ac:dyDescent="0.25">
      <c r="C16" s="6" t="s">
        <v>9</v>
      </c>
      <c r="D16" s="39" t="s">
        <v>30</v>
      </c>
      <c r="G16" s="14"/>
    </row>
    <row r="17" spans="3:5" x14ac:dyDescent="0.25">
      <c r="C17" s="6" t="s">
        <v>10</v>
      </c>
      <c r="D17" s="43" t="s">
        <v>31</v>
      </c>
      <c r="E17" s="4" t="s">
        <v>19</v>
      </c>
    </row>
    <row r="18" spans="3:5" x14ac:dyDescent="0.25">
      <c r="C18" s="7" t="s">
        <v>11</v>
      </c>
      <c r="D18" s="43" t="s">
        <v>27</v>
      </c>
      <c r="E18" s="4" t="s">
        <v>19</v>
      </c>
    </row>
    <row r="19" spans="3:5" x14ac:dyDescent="0.25">
      <c r="C19" s="6" t="s">
        <v>12</v>
      </c>
      <c r="D19" s="43" t="s">
        <v>28</v>
      </c>
      <c r="E19" s="4" t="s">
        <v>19</v>
      </c>
    </row>
    <row r="20" spans="3:5" x14ac:dyDescent="0.25">
      <c r="C20" s="6" t="s">
        <v>15</v>
      </c>
      <c r="D20" s="44" t="s">
        <v>25</v>
      </c>
    </row>
    <row r="21" spans="3:5" x14ac:dyDescent="0.25">
      <c r="C21" s="6" t="s">
        <v>14</v>
      </c>
      <c r="D21" s="44" t="s">
        <v>26</v>
      </c>
    </row>
    <row r="22" spans="3:5" ht="31.5" x14ac:dyDescent="0.25">
      <c r="C22" s="8" t="s">
        <v>16</v>
      </c>
      <c r="D22" s="45" t="s">
        <v>22</v>
      </c>
    </row>
    <row r="23" spans="3:5" x14ac:dyDescent="0.25">
      <c r="C23" s="6" t="s">
        <v>17</v>
      </c>
      <c r="D23" s="45" t="s">
        <v>23</v>
      </c>
    </row>
    <row r="24" spans="3:5" x14ac:dyDescent="0.25">
      <c r="C24" s="9" t="s">
        <v>18</v>
      </c>
      <c r="D24" s="45" t="s">
        <v>22</v>
      </c>
    </row>
  </sheetData>
  <sheetProtection sheet="1" objects="1" scenarios="1" selectLockedCells="1"/>
  <phoneticPr fontId="7" type="noConversion"/>
  <dataValidations disablePrompts="1" count="1">
    <dataValidation type="list" allowBlank="1" showInputMessage="1" showErrorMessage="1" sqref="D22:D24" xr:uid="{C289B2A3-E64F-4A05-8730-0E6378DCA196}">
      <formula1>"SIM,NÃO"</formula1>
    </dataValidation>
  </dataValidations>
  <hyperlinks>
    <hyperlink ref="A1" location="TITULAR!B1" display="     " xr:uid="{64A8B3AB-D14C-40FC-8D5D-C724412E545E}"/>
    <hyperlink ref="D20" r:id="rId1" xr:uid="{AAE96BAC-A5E2-41C8-B441-E09FFA5F08A8}"/>
    <hyperlink ref="D21" r:id="rId2" xr:uid="{691EC74B-B50F-4A3F-BDA7-77C424AD6A71}"/>
  </hyperlinks>
  <pageMargins left="0.511811024" right="0.511811024" top="0.78740157499999996" bottom="0.78740157499999996" header="0.31496062000000002" footer="0.3149606200000000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9708-7F16-4F0A-8C55-D6D01C5F186F}">
  <sheetPr codeName="Planilha2">
    <tabColor theme="8" tint="-0.499984740745262"/>
  </sheetPr>
  <dimension ref="A2:Z33"/>
  <sheetViews>
    <sheetView showGridLines="0" showRowColHeaders="0" zoomScaleNormal="100" workbookViewId="0">
      <selection activeCell="D12" sqref="D1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6.28515625" style="1" customWidth="1"/>
    <col min="2" max="2" width="2.7109375" style="21" customWidth="1"/>
    <col min="3" max="3" width="25.7109375" style="3" customWidth="1"/>
    <col min="4" max="4" width="39.7109375" style="3" bestFit="1" customWidth="1"/>
    <col min="5" max="26" width="9.140625" style="3"/>
  </cols>
  <sheetData>
    <row r="2" spans="3:6" ht="20.25" x14ac:dyDescent="0.25">
      <c r="C2" s="36" t="str">
        <f>TITULAR!C2</f>
        <v>DENIS DOMASCHK ODEBRECHT STEIN</v>
      </c>
      <c r="D2" s="13"/>
    </row>
    <row r="4" spans="3:6" ht="16.5" thickBot="1" x14ac:dyDescent="0.3">
      <c r="C4" s="10" t="s">
        <v>93</v>
      </c>
      <c r="D4" s="11"/>
    </row>
    <row r="5" spans="3:6" ht="16.5" customHeight="1" thickTop="1" x14ac:dyDescent="0.25">
      <c r="C5" s="13" t="s">
        <v>21</v>
      </c>
      <c r="D5" s="12"/>
    </row>
    <row r="7" spans="3:6" ht="16.5" thickBot="1" x14ac:dyDescent="0.3">
      <c r="C7" s="10" t="s">
        <v>109</v>
      </c>
      <c r="D7" s="10"/>
    </row>
    <row r="8" spans="3:6" ht="21" thickTop="1" x14ac:dyDescent="0.35">
      <c r="C8" s="18">
        <f>SUM(D12,D17,D22,D27)</f>
        <v>4119.1799999999994</v>
      </c>
      <c r="D8" s="17"/>
    </row>
    <row r="10" spans="3:6" x14ac:dyDescent="0.25">
      <c r="C10" s="16" t="s">
        <v>87</v>
      </c>
    </row>
    <row r="11" spans="3:6" ht="15.75" x14ac:dyDescent="0.25">
      <c r="C11" s="6" t="s">
        <v>33</v>
      </c>
      <c r="D11" s="46" t="s">
        <v>54</v>
      </c>
    </row>
    <row r="12" spans="3:6" ht="15.75" x14ac:dyDescent="0.25">
      <c r="C12" s="6" t="s">
        <v>34</v>
      </c>
      <c r="D12" s="47">
        <v>3333.33</v>
      </c>
      <c r="F12" s="5"/>
    </row>
    <row r="13" spans="3:6" ht="15.75" x14ac:dyDescent="0.25">
      <c r="C13" s="6" t="s">
        <v>35</v>
      </c>
      <c r="D13" s="46" t="s">
        <v>92</v>
      </c>
    </row>
    <row r="15" spans="3:6" x14ac:dyDescent="0.25">
      <c r="C15" s="16" t="s">
        <v>88</v>
      </c>
    </row>
    <row r="16" spans="3:6" ht="15.75" x14ac:dyDescent="0.25">
      <c r="C16" s="6" t="s">
        <v>33</v>
      </c>
      <c r="D16" s="46" t="s">
        <v>74</v>
      </c>
    </row>
    <row r="17" spans="3:5" ht="15.75" x14ac:dyDescent="0.25">
      <c r="C17" s="6" t="s">
        <v>34</v>
      </c>
      <c r="D17" s="47">
        <v>666.66</v>
      </c>
    </row>
    <row r="18" spans="3:5" ht="15.75" x14ac:dyDescent="0.25">
      <c r="C18" s="6" t="s">
        <v>35</v>
      </c>
      <c r="D18" s="46" t="s">
        <v>90</v>
      </c>
    </row>
    <row r="20" spans="3:5" x14ac:dyDescent="0.25">
      <c r="C20" s="16" t="s">
        <v>89</v>
      </c>
    </row>
    <row r="21" spans="3:5" ht="15.75" x14ac:dyDescent="0.25">
      <c r="C21" s="6" t="s">
        <v>33</v>
      </c>
      <c r="D21" s="46" t="s">
        <v>39</v>
      </c>
    </row>
    <row r="22" spans="3:5" ht="15.75" x14ac:dyDescent="0.25">
      <c r="C22" s="6" t="s">
        <v>34</v>
      </c>
      <c r="D22" s="47">
        <v>119.19</v>
      </c>
    </row>
    <row r="23" spans="3:5" ht="15.75" x14ac:dyDescent="0.25">
      <c r="C23" s="6" t="s">
        <v>35</v>
      </c>
      <c r="D23" s="46" t="s">
        <v>91</v>
      </c>
    </row>
    <row r="25" spans="3:5" x14ac:dyDescent="0.25">
      <c r="C25" s="16"/>
    </row>
    <row r="27" spans="3:5" x14ac:dyDescent="0.25">
      <c r="D27" s="3" t="s">
        <v>19</v>
      </c>
    </row>
    <row r="29" spans="3:5" ht="15.75" x14ac:dyDescent="0.25">
      <c r="E29" s="4"/>
    </row>
    <row r="30" spans="3:5" ht="15.75" x14ac:dyDescent="0.25">
      <c r="E30" s="4"/>
    </row>
    <row r="31" spans="3:5" ht="15.75" x14ac:dyDescent="0.25">
      <c r="D31" s="4"/>
      <c r="E31" s="4"/>
    </row>
    <row r="33" spans="4:4" x14ac:dyDescent="0.25">
      <c r="D33" s="3" t="s">
        <v>19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allowBlank="1" showInputMessage="1" showErrorMessage="1" errorTitle="BANCO NÃO ENCONTRADO." error="Informe um banco da lista. Se não houver, contate a Receita Federal mais próxima de você." promptTitle="Informe um Banco" prompt="Informe um dos bancos vinculados a seu CPF." xr:uid="{9FD444E3-AD64-4EC5-BA51-29C49062F3B4}">
          <x14:formula1>
            <xm:f>TABELAS!$C$2:$C$51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DC34B-D9CF-4F12-8897-69A05F02AD63}">
  <sheetPr codeName="Planilha3">
    <tabColor theme="8" tint="-0.499984740745262"/>
  </sheetPr>
  <dimension ref="A2:Z33"/>
  <sheetViews>
    <sheetView showGridLines="0" showRowColHeaders="0" zoomScale="80" zoomScaleNormal="80" workbookViewId="0">
      <selection activeCell="C9" sqref="C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6.28515625" style="1" customWidth="1"/>
    <col min="2" max="2" width="2.7109375" style="21" customWidth="1"/>
    <col min="3" max="3" width="13.28515625" style="3" customWidth="1"/>
    <col min="4" max="4" width="18.28515625" style="3" bestFit="1" customWidth="1"/>
    <col min="5" max="5" width="13.140625" style="3" bestFit="1" customWidth="1"/>
    <col min="6" max="26" width="9.140625" style="3"/>
  </cols>
  <sheetData>
    <row r="2" spans="2:11" ht="20.25" x14ac:dyDescent="0.35">
      <c r="C2" s="37" t="str">
        <f>TITULAR!C2</f>
        <v>DENIS DOMASCHK ODEBRECHT STEIN</v>
      </c>
      <c r="D2" s="38"/>
      <c r="E2" s="38"/>
      <c r="F2" s="38"/>
    </row>
    <row r="4" spans="2:11" ht="15.75" thickBot="1" x14ac:dyDescent="0.3">
      <c r="B4" s="27"/>
      <c r="C4" s="33" t="s">
        <v>98</v>
      </c>
      <c r="D4" s="34"/>
      <c r="E4" s="34"/>
      <c r="F4" s="33"/>
      <c r="G4" s="33"/>
      <c r="H4" s="33"/>
      <c r="I4" s="33"/>
      <c r="J4" s="33"/>
      <c r="K4" s="33"/>
    </row>
    <row r="5" spans="2:11" ht="15.75" thickTop="1" x14ac:dyDescent="0.25">
      <c r="C5" s="13" t="s">
        <v>99</v>
      </c>
      <c r="D5" s="12"/>
      <c r="E5" s="12"/>
      <c r="F5" s="13"/>
      <c r="G5" s="13"/>
      <c r="H5" s="13"/>
      <c r="I5" s="13"/>
      <c r="J5" s="13"/>
      <c r="K5" s="13"/>
    </row>
    <row r="7" spans="2:11" ht="15.75" x14ac:dyDescent="0.25">
      <c r="C7" s="53" t="s">
        <v>108</v>
      </c>
      <c r="D7" s="54"/>
      <c r="E7" s="55"/>
    </row>
    <row r="8" spans="2:11" ht="20.25" x14ac:dyDescent="0.25">
      <c r="C8" s="31" t="s">
        <v>100</v>
      </c>
      <c r="D8" s="31" t="s">
        <v>101</v>
      </c>
      <c r="E8" s="32" t="s">
        <v>102</v>
      </c>
    </row>
    <row r="9" spans="2:11" x14ac:dyDescent="0.25">
      <c r="C9" s="48">
        <v>45664</v>
      </c>
      <c r="D9" s="49" t="s">
        <v>107</v>
      </c>
      <c r="E9" s="50">
        <v>3000</v>
      </c>
    </row>
    <row r="10" spans="2:11" x14ac:dyDescent="0.25">
      <c r="C10" s="48">
        <v>45673</v>
      </c>
      <c r="D10" s="49" t="s">
        <v>103</v>
      </c>
      <c r="E10" s="51">
        <v>7362</v>
      </c>
    </row>
    <row r="11" spans="2:11" x14ac:dyDescent="0.25">
      <c r="C11" s="48">
        <v>45696</v>
      </c>
      <c r="D11" s="49" t="s">
        <v>107</v>
      </c>
      <c r="E11" s="50">
        <v>3000</v>
      </c>
    </row>
    <row r="12" spans="2:11" x14ac:dyDescent="0.25">
      <c r="C12" s="48">
        <v>45713</v>
      </c>
      <c r="D12" s="49" t="s">
        <v>104</v>
      </c>
      <c r="E12" s="51">
        <v>5700</v>
      </c>
    </row>
    <row r="13" spans="2:11" x14ac:dyDescent="0.25">
      <c r="C13" s="48">
        <v>45724</v>
      </c>
      <c r="D13" s="49" t="s">
        <v>107</v>
      </c>
      <c r="E13" s="50">
        <v>3000</v>
      </c>
    </row>
    <row r="14" spans="2:11" x14ac:dyDescent="0.25">
      <c r="C14" s="48">
        <v>45735</v>
      </c>
      <c r="D14" s="49" t="s">
        <v>103</v>
      </c>
      <c r="E14" s="50">
        <v>3100</v>
      </c>
    </row>
    <row r="15" spans="2:11" x14ac:dyDescent="0.25">
      <c r="C15" s="48">
        <v>45755</v>
      </c>
      <c r="D15" s="49" t="s">
        <v>107</v>
      </c>
      <c r="E15" s="51">
        <v>3300</v>
      </c>
    </row>
    <row r="16" spans="2:11" x14ac:dyDescent="0.25">
      <c r="C16" s="48">
        <v>45784</v>
      </c>
      <c r="D16" s="49" t="s">
        <v>107</v>
      </c>
      <c r="E16" s="51">
        <v>3300</v>
      </c>
    </row>
    <row r="17" spans="3:16" x14ac:dyDescent="0.25">
      <c r="C17" s="48">
        <v>45845</v>
      </c>
      <c r="D17" s="49" t="s">
        <v>107</v>
      </c>
      <c r="E17" s="51">
        <v>3250</v>
      </c>
    </row>
    <row r="18" spans="3:16" x14ac:dyDescent="0.25">
      <c r="C18" s="48">
        <v>45861</v>
      </c>
      <c r="D18" s="49" t="s">
        <v>103</v>
      </c>
      <c r="E18" s="52">
        <v>2485</v>
      </c>
    </row>
    <row r="19" spans="3:16" x14ac:dyDescent="0.25">
      <c r="C19" s="48">
        <v>45877</v>
      </c>
      <c r="D19" s="49" t="s">
        <v>107</v>
      </c>
      <c r="E19" s="50">
        <v>3248</v>
      </c>
    </row>
    <row r="20" spans="3:16" x14ac:dyDescent="0.25">
      <c r="C20" s="48">
        <v>45890</v>
      </c>
      <c r="D20" s="49" t="s">
        <v>103</v>
      </c>
      <c r="E20" s="51">
        <v>900</v>
      </c>
    </row>
    <row r="21" spans="3:16" x14ac:dyDescent="0.25">
      <c r="C21" s="48">
        <v>45909</v>
      </c>
      <c r="D21" s="49" t="s">
        <v>107</v>
      </c>
      <c r="E21" s="51">
        <v>3350</v>
      </c>
    </row>
    <row r="22" spans="3:16" x14ac:dyDescent="0.25">
      <c r="C22" s="48">
        <v>45930</v>
      </c>
      <c r="D22" s="49" t="s">
        <v>104</v>
      </c>
      <c r="E22" s="51">
        <v>4280</v>
      </c>
      <c r="P22" s="5"/>
    </row>
    <row r="23" spans="3:16" x14ac:dyDescent="0.25">
      <c r="C23" s="48">
        <v>45935</v>
      </c>
      <c r="D23" s="49" t="s">
        <v>107</v>
      </c>
      <c r="E23" s="52">
        <v>3270</v>
      </c>
    </row>
    <row r="24" spans="3:16" x14ac:dyDescent="0.25">
      <c r="C24" s="48">
        <v>45952</v>
      </c>
      <c r="D24" s="49" t="s">
        <v>103</v>
      </c>
      <c r="E24" s="50">
        <v>1250</v>
      </c>
    </row>
    <row r="25" spans="3:16" x14ac:dyDescent="0.25">
      <c r="C25" s="48">
        <v>45970</v>
      </c>
      <c r="D25" s="49" t="s">
        <v>107</v>
      </c>
      <c r="E25" s="51">
        <v>3290</v>
      </c>
    </row>
    <row r="26" spans="3:16" x14ac:dyDescent="0.25">
      <c r="C26" s="48">
        <v>45980</v>
      </c>
      <c r="D26" s="49" t="s">
        <v>103</v>
      </c>
      <c r="E26" s="51">
        <v>970</v>
      </c>
    </row>
    <row r="27" spans="3:16" x14ac:dyDescent="0.25">
      <c r="C27" s="48">
        <v>45981</v>
      </c>
      <c r="D27" s="49" t="s">
        <v>107</v>
      </c>
      <c r="E27" s="51">
        <v>1150</v>
      </c>
    </row>
    <row r="28" spans="3:16" x14ac:dyDescent="0.25">
      <c r="C28" s="48">
        <v>45998</v>
      </c>
      <c r="D28" s="49" t="s">
        <v>107</v>
      </c>
      <c r="E28" s="51">
        <v>3327</v>
      </c>
    </row>
    <row r="29" spans="3:16" x14ac:dyDescent="0.25">
      <c r="C29" s="48">
        <v>46001</v>
      </c>
      <c r="D29" s="49" t="s">
        <v>103</v>
      </c>
      <c r="E29" s="51">
        <v>2300</v>
      </c>
    </row>
    <row r="30" spans="3:16" x14ac:dyDescent="0.25">
      <c r="C30" s="48">
        <v>46006</v>
      </c>
      <c r="D30" s="49" t="s">
        <v>107</v>
      </c>
      <c r="E30" s="51">
        <v>1160</v>
      </c>
    </row>
    <row r="31" spans="3:16" ht="15.75" x14ac:dyDescent="0.25">
      <c r="D31" s="4"/>
    </row>
    <row r="32" spans="3:16" ht="15.75" x14ac:dyDescent="0.25">
      <c r="D32" s="4"/>
    </row>
    <row r="33" spans="4:4" ht="15.75" x14ac:dyDescent="0.25">
      <c r="D33" s="4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30" xr:uid="{E84324CC-B47B-4002-8360-12E138D76155}">
      <formula1>"Salário,Freelancer,Contrato"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4576-03F3-4892-8803-50BA4E7AE881}">
  <sheetPr>
    <tabColor rgb="FF491343"/>
  </sheetPr>
  <dimension ref="B1:Z52"/>
  <sheetViews>
    <sheetView showGridLines="0" showRowColHeaders="0" zoomScale="60" zoomScaleNormal="60" workbookViewId="0">
      <selection activeCell="C4" sqref="C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6.28515625" style="15" customWidth="1"/>
    <col min="2" max="2" width="2.7109375" style="21" customWidth="1"/>
    <col min="3" max="3" width="10.28515625" style="3" bestFit="1" customWidth="1"/>
    <col min="4" max="26" width="9.140625" style="3"/>
    <col min="27" max="16384" width="9.140625" style="15"/>
  </cols>
  <sheetData>
    <row r="1" spans="2:26" x14ac:dyDescent="0.25">
      <c r="C1" s="20" t="s">
        <v>86</v>
      </c>
      <c r="D1" s="20"/>
      <c r="E1" s="20"/>
      <c r="F1" s="20"/>
      <c r="G1" s="20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25">
      <c r="B2" s="27"/>
      <c r="C2" s="3" t="s">
        <v>36</v>
      </c>
    </row>
    <row r="3" spans="2:26" x14ac:dyDescent="0.25">
      <c r="C3" s="3" t="s">
        <v>37</v>
      </c>
    </row>
    <row r="4" spans="2:26" x14ac:dyDescent="0.25">
      <c r="C4" s="3" t="s">
        <v>38</v>
      </c>
    </row>
    <row r="5" spans="2:26" x14ac:dyDescent="0.25">
      <c r="C5" s="3" t="s">
        <v>39</v>
      </c>
    </row>
    <row r="6" spans="2:26" x14ac:dyDescent="0.25">
      <c r="C6" s="3" t="s">
        <v>40</v>
      </c>
    </row>
    <row r="7" spans="2:26" x14ac:dyDescent="0.25">
      <c r="C7" s="3" t="s">
        <v>41</v>
      </c>
    </row>
    <row r="8" spans="2:26" x14ac:dyDescent="0.25">
      <c r="C8" s="3" t="s">
        <v>42</v>
      </c>
    </row>
    <row r="9" spans="2:26" x14ac:dyDescent="0.25">
      <c r="C9" s="3" t="s">
        <v>43</v>
      </c>
    </row>
    <row r="10" spans="2:26" x14ac:dyDescent="0.25">
      <c r="C10" s="3" t="s">
        <v>44</v>
      </c>
    </row>
    <row r="11" spans="2:26" x14ac:dyDescent="0.25">
      <c r="C11" s="3" t="s">
        <v>45</v>
      </c>
    </row>
    <row r="12" spans="2:26" x14ac:dyDescent="0.25">
      <c r="C12" s="3" t="s">
        <v>46</v>
      </c>
    </row>
    <row r="13" spans="2:26" x14ac:dyDescent="0.25">
      <c r="C13" s="3" t="s">
        <v>47</v>
      </c>
    </row>
    <row r="14" spans="2:26" x14ac:dyDescent="0.25">
      <c r="C14" s="3" t="s">
        <v>48</v>
      </c>
    </row>
    <row r="15" spans="2:26" x14ac:dyDescent="0.25">
      <c r="C15" s="3" t="s">
        <v>49</v>
      </c>
    </row>
    <row r="16" spans="2:26" x14ac:dyDescent="0.25">
      <c r="C16" s="3" t="s">
        <v>50</v>
      </c>
    </row>
    <row r="17" spans="3:16" x14ac:dyDescent="0.25">
      <c r="C17" s="3" t="s">
        <v>51</v>
      </c>
    </row>
    <row r="18" spans="3:16" x14ac:dyDescent="0.25">
      <c r="C18" s="3" t="s">
        <v>52</v>
      </c>
    </row>
    <row r="19" spans="3:16" x14ac:dyDescent="0.25">
      <c r="C19" s="3" t="s">
        <v>53</v>
      </c>
    </row>
    <row r="20" spans="3:16" x14ac:dyDescent="0.25">
      <c r="C20" s="3" t="s">
        <v>54</v>
      </c>
      <c r="P20" s="5"/>
    </row>
    <row r="21" spans="3:16" x14ac:dyDescent="0.25">
      <c r="C21" s="3" t="s">
        <v>55</v>
      </c>
    </row>
    <row r="22" spans="3:16" x14ac:dyDescent="0.25">
      <c r="C22" s="3" t="s">
        <v>56</v>
      </c>
    </row>
    <row r="23" spans="3:16" x14ac:dyDescent="0.25">
      <c r="C23" s="3" t="s">
        <v>57</v>
      </c>
    </row>
    <row r="24" spans="3:16" x14ac:dyDescent="0.25">
      <c r="C24" s="3" t="s">
        <v>58</v>
      </c>
    </row>
    <row r="25" spans="3:16" x14ac:dyDescent="0.25">
      <c r="C25" s="3" t="s">
        <v>59</v>
      </c>
    </row>
    <row r="26" spans="3:16" x14ac:dyDescent="0.25">
      <c r="C26" s="3" t="s">
        <v>60</v>
      </c>
    </row>
    <row r="27" spans="3:16" x14ac:dyDescent="0.25">
      <c r="C27" s="3" t="s">
        <v>61</v>
      </c>
    </row>
    <row r="28" spans="3:16" x14ac:dyDescent="0.25">
      <c r="C28" s="3" t="s">
        <v>62</v>
      </c>
    </row>
    <row r="29" spans="3:16" x14ac:dyDescent="0.25">
      <c r="C29" s="3" t="s">
        <v>63</v>
      </c>
    </row>
    <row r="30" spans="3:16" x14ac:dyDescent="0.25">
      <c r="C30" s="3" t="s">
        <v>64</v>
      </c>
    </row>
    <row r="31" spans="3:16" x14ac:dyDescent="0.25">
      <c r="C31" s="3" t="s">
        <v>65</v>
      </c>
    </row>
    <row r="32" spans="3:16" x14ac:dyDescent="0.25">
      <c r="C32" s="3" t="s">
        <v>66</v>
      </c>
    </row>
    <row r="33" spans="3:3" x14ac:dyDescent="0.25">
      <c r="C33" s="3" t="s">
        <v>67</v>
      </c>
    </row>
    <row r="34" spans="3:3" x14ac:dyDescent="0.25">
      <c r="C34" s="3" t="s">
        <v>68</v>
      </c>
    </row>
    <row r="35" spans="3:3" x14ac:dyDescent="0.25">
      <c r="C35" s="3" t="s">
        <v>69</v>
      </c>
    </row>
    <row r="36" spans="3:3" x14ac:dyDescent="0.25">
      <c r="C36" s="3" t="s">
        <v>70</v>
      </c>
    </row>
    <row r="37" spans="3:3" x14ac:dyDescent="0.25">
      <c r="C37" s="3" t="s">
        <v>71</v>
      </c>
    </row>
    <row r="38" spans="3:3" x14ac:dyDescent="0.25">
      <c r="C38" s="3" t="s">
        <v>72</v>
      </c>
    </row>
    <row r="39" spans="3:3" x14ac:dyDescent="0.25">
      <c r="C39" s="3" t="s">
        <v>73</v>
      </c>
    </row>
    <row r="40" spans="3:3" x14ac:dyDescent="0.25">
      <c r="C40" s="3" t="s">
        <v>74</v>
      </c>
    </row>
    <row r="41" spans="3:3" x14ac:dyDescent="0.25">
      <c r="C41" s="3" t="s">
        <v>75</v>
      </c>
    </row>
    <row r="42" spans="3:3" x14ac:dyDescent="0.25">
      <c r="C42" s="3" t="s">
        <v>76</v>
      </c>
    </row>
    <row r="43" spans="3:3" x14ac:dyDescent="0.25">
      <c r="C43" s="3" t="s">
        <v>77</v>
      </c>
    </row>
    <row r="44" spans="3:3" x14ac:dyDescent="0.25">
      <c r="C44" s="3" t="s">
        <v>78</v>
      </c>
    </row>
    <row r="45" spans="3:3" x14ac:dyDescent="0.25">
      <c r="C45" s="3" t="s">
        <v>79</v>
      </c>
    </row>
    <row r="46" spans="3:3" x14ac:dyDescent="0.25">
      <c r="C46" s="3" t="s">
        <v>80</v>
      </c>
    </row>
    <row r="47" spans="3:3" x14ac:dyDescent="0.25">
      <c r="C47" s="3" t="s">
        <v>81</v>
      </c>
    </row>
    <row r="48" spans="3:3" x14ac:dyDescent="0.25">
      <c r="C48" s="3" t="s">
        <v>82</v>
      </c>
    </row>
    <row r="49" spans="2:26" x14ac:dyDescent="0.25">
      <c r="C49" s="3" t="s">
        <v>83</v>
      </c>
    </row>
    <row r="50" spans="2:26" x14ac:dyDescent="0.25">
      <c r="C50" s="3" t="s">
        <v>84</v>
      </c>
    </row>
    <row r="51" spans="2:26" x14ac:dyDescent="0.25">
      <c r="C51" s="3" t="s">
        <v>85</v>
      </c>
    </row>
    <row r="52" spans="2:26" ht="24.75" customHeight="1" x14ac:dyDescent="0.25">
      <c r="B52" s="22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B686-D980-45F1-8ECB-F7092D818584}">
  <sheetPr>
    <tabColor rgb="FF491343"/>
  </sheetPr>
  <dimension ref="B1:P30"/>
  <sheetViews>
    <sheetView showGridLines="0" showRowColHeaders="0" tabSelected="1" zoomScaleNormal="100" workbookViewId="0">
      <selection activeCell="A2" sqref="A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36.28515625" style="15" customWidth="1"/>
    <col min="2" max="2" width="2.7109375" style="22" customWidth="1"/>
    <col min="3" max="3" width="138.85546875" style="15" bestFit="1" customWidth="1"/>
    <col min="4" max="4" width="9.140625" style="29"/>
    <col min="5" max="16384" width="9.140625" style="15"/>
  </cols>
  <sheetData>
    <row r="1" spans="3:16" x14ac:dyDescent="0.25">
      <c r="C1" s="24" t="s">
        <v>94</v>
      </c>
      <c r="D1" s="28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3" spans="3:16" x14ac:dyDescent="0.25">
      <c r="C3" s="25" t="s">
        <v>106</v>
      </c>
      <c r="D3" s="30">
        <v>0.97</v>
      </c>
    </row>
    <row r="4" spans="3:16" x14ac:dyDescent="0.25">
      <c r="C4" s="19" t="s">
        <v>19</v>
      </c>
    </row>
    <row r="5" spans="3:16" x14ac:dyDescent="0.25">
      <c r="C5" s="25" t="s">
        <v>96</v>
      </c>
      <c r="D5" s="30">
        <v>0.02</v>
      </c>
    </row>
    <row r="7" spans="3:16" x14ac:dyDescent="0.25">
      <c r="C7" s="25" t="s">
        <v>95</v>
      </c>
    </row>
    <row r="8" spans="3:16" x14ac:dyDescent="0.25">
      <c r="C8" s="25" t="s">
        <v>97</v>
      </c>
      <c r="D8" s="30">
        <v>0.01</v>
      </c>
    </row>
    <row r="28" spans="3:9" x14ac:dyDescent="0.25">
      <c r="C28" s="15" t="s">
        <v>19</v>
      </c>
    </row>
    <row r="30" spans="3:9" x14ac:dyDescent="0.25">
      <c r="C30" s="28" t="s">
        <v>105</v>
      </c>
      <c r="D30" s="35"/>
      <c r="E30" s="23"/>
      <c r="F30" s="23"/>
      <c r="G30" s="23"/>
      <c r="H30" s="23"/>
      <c r="I30" s="23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TABELAS</vt:lpstr>
      <vt:lpstr>CRÉDITOS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sidnei lopes ribeiro</dc:creator>
  <cp:lastModifiedBy>sidnei lopes ribeiro</cp:lastModifiedBy>
  <dcterms:created xsi:type="dcterms:W3CDTF">2026-06-29T21:41:40Z</dcterms:created>
  <dcterms:modified xsi:type="dcterms:W3CDTF">2026-07-08T13:08:19Z</dcterms:modified>
</cp:coreProperties>
</file>